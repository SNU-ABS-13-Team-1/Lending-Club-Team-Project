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7f852f938b4daf" /></Relationships>
</file>

<file path=xl/workbook.xml><?xml version="1.0" encoding="utf-8"?>
<x:workbook xmlns:x="http://schemas.openxmlformats.org/spreadsheetml/2006/main">
  <x:sheets>
    <x:sheet xmlns:r="http://schemas.openxmlformats.org/officeDocument/2006/relationships" name="요약" sheetId="1" r:id="R186285b78c4a4d2a"/>
    <x:sheet xmlns:r="http://schemas.openxmlformats.org/officeDocument/2006/relationships" name="141개_타임라인" sheetId="2" r:id="R861e6b61f2e74d2a"/>
    <x:sheet xmlns:r="http://schemas.openxmlformats.org/officeDocument/2006/relationships" name="모델_가이드" sheetId="3" r:id="R3830729ab522491a"/>
    <x:sheet xmlns:r="http://schemas.openxmlformats.org/officeDocument/2006/relationships" name="출처" sheetId="4" r:id="R9347d949690a48c0"/>
    <x:sheet xmlns:r="http://schemas.openxmlformats.org/officeDocument/2006/relationships" name="검증" sheetId="5" r:id="Re212f1f2ca6c46d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8">
    <x:font>
      <x:sz val="11"/>
      <x:name val="Carlito"/>
    </x:font>
    <x:font>
      <x:b/>
      <x:sz val="18"/>
      <x:color rgb="FFFFFFFF"/>
      <x:name val="Carlito"/>
    </x:font>
    <x:font>
      <x:i/>
      <x:sz val="11"/>
      <x:color rgb="FF475569"/>
      <x:name val="Carlito"/>
    </x:font>
    <x:font>
      <x:b/>
      <x:sz val="11"/>
      <x:color rgb="FFFFFFFF"/>
      <x:name val="Carlito"/>
    </x:font>
    <x:font>
      <x:b/>
      <x:sz val="11"/>
      <x:color rgb="FF12304A"/>
      <x:name val="Carlito"/>
    </x:font>
    <x:font>
      <x:sz val="11"/>
      <x:color rgb="FF92400E"/>
      <x:name val="Carlito"/>
    </x:font>
    <x:font>
      <x:b/>
      <x:sz val="10"/>
      <x:color rgb="FFFFFFFF"/>
      <x:name val="Aptos"/>
    </x:font>
    <x:font>
      <x:i/>
      <x:sz val="10"/>
      <x:color rgb="FF475569"/>
      <x:name val="Aptos"/>
    </x:font>
    <x:font>
      <x:sz val="10"/>
      <x:name val="Aptos"/>
    </x:font>
    <x:font>
      <x:b/>
      <x:sz val="10"/>
      <x:color rgb="FF12304A"/>
      <x:name val="Aptos"/>
    </x:font>
    <x:font>
      <x:sz val="10"/>
      <x:color rgb="FF92400E"/>
      <x:name val="Aptos"/>
    </x:font>
    <x:font>
      <x:sz val="11"/>
      <x:color rgb="FF008000"/>
      <x:name val="Carlito"/>
    </x:font>
    <x:font>
      <x:sz val="11"/>
      <x:color rgb="FF991B1B"/>
      <x:name val="Carlito"/>
    </x:font>
    <x:font>
      <x:b/>
      <x:sz val="11"/>
      <x:color rgb="FF166534"/>
      <x:name val="Carlito"/>
    </x:font>
    <x:font>
      <x:b/>
      <x:sz val="11"/>
      <x:color rgb="FF92400E"/>
      <x:name val="Carlito"/>
    </x:font>
    <x:font>
      <x:sz val="11"/>
      <x:color rgb="FF166534"/>
      <x:name val="Carlito"/>
    </x:font>
    <x:font>
      <x:sz val="11"/>
      <x:color rgb="FFFF0000"/>
      <x:name val="Carlito"/>
    </x:font>
    <x:font>
      <x:b/>
      <x:sz val="10"/>
      <x:color rgb="FFFFFFFF"/>
      <x:name val="Noto Sans Korean"/>
    </x:font>
    <x:font>
      <x:i/>
      <x:sz val="10"/>
      <x:color rgb="FF475569"/>
      <x:name val="Noto Sans Korean"/>
    </x:font>
    <x:font>
      <x:sz val="10"/>
      <x:name val="Noto Sans Korean"/>
    </x:font>
    <x:font>
      <x:b/>
      <x:sz val="10"/>
      <x:color rgb="FF12304A"/>
      <x:name val="Noto Sans Korean"/>
    </x:font>
    <x:font>
      <x:sz val="10"/>
      <x:color rgb="FF92400E"/>
      <x:name val="Noto Sans Korean"/>
    </x:font>
    <x:font>
      <x:sz val="10"/>
      <x:color rgb="FF991B1B"/>
      <x:name val="Noto Sans Korean"/>
    </x:font>
    <x:font>
      <x:b/>
      <x:sz val="10"/>
      <x:color rgb="FF166534"/>
      <x:name val="Noto Sans Korean"/>
    </x:font>
    <x:font>
      <x:sz val="10"/>
      <x:color rgb="FF008000"/>
      <x:name val="Noto Sans Korean"/>
    </x:font>
    <x:font>
      <x:b/>
      <x:sz val="10"/>
      <x:color rgb="FF92400E"/>
      <x:name val="Noto Sans Korean"/>
    </x:font>
    <x:font>
      <x:sz val="10"/>
      <x:color rgb="FF166534"/>
      <x:name val="Noto Sans Korean"/>
    </x:font>
    <x:font>
      <x:sz val="10"/>
      <x:color rgb="FFFF0000"/>
      <x:name val="Noto Sans Korean"/>
    </x:font>
  </x:fonts>
  <x:fills count="17">
    <x:fill>
      <x:patternFill patternType="none"/>
    </x:fill>
    <x:fill>
      <x:patternFill patternType="gray125"/>
    </x:fill>
    <x:fill>
      <x:patternFill patternType="solid">
        <x:fgColor rgb="FF12304A"/>
      </x:patternFill>
    </x:fill>
    <x:fill>
      <x:patternFill patternType="solid">
        <x:fgColor rgb="FFE8EEF3"/>
      </x:patternFill>
    </x:fill>
    <x:fill>
      <x:patternFill patternType="solid">
        <x:fgColor rgb="FF0F766E"/>
      </x:patternFill>
    </x:fill>
    <x:fill>
      <x:patternFill patternType="solid">
        <x:fgColor rgb="FFF8FAFC"/>
      </x:patternFill>
    </x:fill>
    <x:fill>
      <x:patternFill patternType="solid">
        <x:fgColor rgb="FFD9E5EC"/>
      </x:patternFill>
    </x:fill>
    <x:fill>
      <x:patternFill patternType="solid">
        <x:fgColor rgb="FFDBEAFE"/>
      </x:patternFill>
    </x:fill>
    <x:fill>
      <x:patternFill patternType="solid">
        <x:fgColor rgb="FFD1FAE5"/>
      </x:patternFill>
    </x:fill>
    <x:fill>
      <x:patternFill patternType="solid">
        <x:fgColor rgb="FFFEF3C7"/>
      </x:patternFill>
    </x:fill>
    <x:fill>
      <x:patternFill patternType="solid">
        <x:fgColor rgb="FFEDE9FE"/>
      </x:patternFill>
    </x:fill>
    <x:fill>
      <x:patternFill patternType="solid">
        <x:fgColor rgb="FFFFE4E6"/>
      </x:patternFill>
    </x:fill>
    <x:fill>
      <x:patternFill patternType="solid">
        <x:fgColor rgb="FFE2E8F0"/>
      </x:patternFill>
    </x:fill>
    <x:fill>
      <x:patternFill patternType="solid">
        <x:fgColor rgb="FFFECACA"/>
      </x:patternFill>
    </x:fill>
    <x:fill>
      <x:patternFill patternType="solid">
        <x:fgColor rgb="FFDCFCE7"/>
      </x:patternFill>
    </x:fill>
    <x:fill>
      <x:patternFill patternType="solid">
        <x:fgColor rgb="FFFEE2E2"/>
      </x:patternFill>
    </x:fill>
    <x:fill>
      <x:patternFill patternType="solid">
        <x:fgColor rgb="FFE0F2FE"/>
      </x:patternFill>
    </x:fill>
  </x:fills>
  <x:borders count="36">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
      <x:left style="thin">
        <x:color rgb="FFF59E0B"/>
      </x:left>
      <x:top style="thin">
        <x:color rgb="FFF59E0B"/>
      </x:top>
    </x:border>
    <x:border>
      <x:top style="thin">
        <x:color rgb="FFF59E0B"/>
      </x:top>
    </x:border>
    <x:border>
      <x:right style="thin">
        <x:color rgb="FFF59E0B"/>
      </x:right>
      <x:top style="thin">
        <x:color rgb="FFF59E0B"/>
      </x:top>
    </x:border>
    <x:border>
      <x:left style="thin">
        <x:color rgb="FFF59E0B"/>
      </x:left>
    </x:border>
    <x:border>
      <x:right style="thin">
        <x:color rgb="FFF59E0B"/>
      </x:right>
    </x:border>
    <x:border>
      <x:left style="thin">
        <x:color rgb="FFF59E0B"/>
      </x:left>
      <x:bottom style="thin">
        <x:color rgb="FFF59E0B"/>
      </x:bottom>
    </x:border>
    <x:border>
      <x:bottom style="thin">
        <x:color rgb="FFF59E0B"/>
      </x:bottom>
    </x:border>
    <x:border>
      <x:right style="thin">
        <x:color rgb="FFF59E0B"/>
      </x:right>
      <x:bottom style="thin">
        <x:color rgb="FFF59E0B"/>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right style="thin">
        <x:color rgb="FFBBF7D0"/>
      </x:right>
      <x:bottom style="thin">
        <x:color rgb="FFBBF7D0"/>
      </x:bottom>
    </x:border>
    <x:border>
      <x:left style="thin">
        <x:color rgb="FFBBF7D0"/>
      </x:left>
      <x:right style="thin">
        <x:color rgb="FFBBF7D0"/>
      </x:right>
      <x:bottom style="thin">
        <x:color rgb="FFBBF7D0"/>
      </x:bottom>
    </x:border>
    <x:border>
      <x:left style="thin">
        <x:color rgb="FFBBF7D0"/>
      </x:left>
      <x:bottom style="thin">
        <x:color rgb="FFBBF7D0"/>
      </x:bottom>
    </x:border>
    <x:border>
      <x:right style="thin">
        <x:color rgb="FFBBF7D0"/>
      </x:right>
      <x:top style="thin">
        <x:color rgb="FFBBF7D0"/>
      </x:top>
      <x:bottom style="thin">
        <x:color rgb="FFBBF7D0"/>
      </x:bottom>
    </x:border>
    <x:border>
      <x:left style="thin">
        <x:color rgb="FFBBF7D0"/>
      </x:left>
      <x:right style="thin">
        <x:color rgb="FFBBF7D0"/>
      </x:right>
      <x:top style="thin">
        <x:color rgb="FFBBF7D0"/>
      </x:top>
      <x:bottom style="thin">
        <x:color rgb="FFBBF7D0"/>
      </x:bottom>
    </x:border>
    <x:border>
      <x:left style="thin">
        <x:color rgb="FFBBF7D0"/>
      </x:left>
      <x:top style="thin">
        <x:color rgb="FFBBF7D0"/>
      </x:top>
      <x:bottom style="thin">
        <x:color rgb="FFBBF7D0"/>
      </x:bottom>
    </x:border>
    <x:border>
      <x:right style="thin">
        <x:color rgb="FFBBF7D0"/>
      </x:right>
      <x:top style="thin">
        <x:color rgb="FFBBF7D0"/>
      </x:top>
    </x:border>
    <x:border>
      <x:left style="thin">
        <x:color rgb="FFBBF7D0"/>
      </x:left>
      <x:right style="thin">
        <x:color rgb="FFBBF7D0"/>
      </x:right>
      <x:top style="thin">
        <x:color rgb="FFBBF7D0"/>
      </x:top>
    </x:border>
    <x:border>
      <x:left style="thin">
        <x:color rgb="FFBBF7D0"/>
      </x:left>
      <x:top style="thin">
        <x:color rgb="FFBBF7D0"/>
      </x:top>
    </x:border>
  </x:borders>
  <x:cellStyleXfs count="1">
    <x:xf numFmtId="0" fontId="0" fillId="0" borderId="0"/>
  </x:cellStyleXfs>
  <x:cellXfs count="3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vertical="top"/>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5" borderId="4" xfId="0" applyNumberFormat="1" applyFont="1" applyFill="1" applyBorder="1" applyAlignment="1">
      <x:alignment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4" fillId="5" borderId="7" xfId="0" applyNumberFormat="1" applyFont="1" applyFill="1" applyBorder="1" applyAlignment="1">
      <x:alignment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0" borderId="0" xfId="0" applyNumberFormat="1" applyFont="1" applyFill="1" applyBorder="1"/>
    <x:xf numFmtId="0" fontId="4" fillId="7" borderId="0" xfId="0" applyNumberFormat="1" applyFont="1" applyFill="1" applyBorder="1"/>
    <x:xf numFmtId="0" fontId="4" fillId="8" borderId="0" xfId="0" applyNumberFormat="1" applyFont="1" applyFill="1" applyBorder="1"/>
    <x:xf numFmtId="0" fontId="4" fillId="9" borderId="0" xfId="0" applyNumberFormat="1" applyFont="1" applyFill="1" applyBorder="1"/>
    <x:xf numFmtId="0" fontId="4" fillId="10" borderId="0" xfId="0" applyNumberFormat="1" applyFont="1" applyFill="1" applyBorder="1"/>
    <x:xf numFmtId="0" fontId="4" fillId="11" borderId="0" xfId="0" applyNumberFormat="1" applyFont="1" applyFill="1" applyBorder="1"/>
    <x:xf numFmtId="0" fontId="4" fillId="12" borderId="0" xfId="0" applyNumberFormat="1" applyFont="1" applyFill="1" applyBorder="1"/>
    <x:xf numFmtId="0" fontId="4" fillId="13" borderId="0" xfId="0" applyNumberFormat="1" applyFont="1" applyFill="1" applyBorder="1"/>
    <x:xf numFmtId="0" fontId="4" fillId="7" borderId="0" xfId="0" applyNumberFormat="1" applyFont="1" applyFill="1" applyBorder="1" applyAlignment="1">
      <x:alignment wrapText="1"/>
    </x:xf>
    <x:xf numFmtId="0" fontId="4" fillId="8" borderId="0" xfId="0" applyNumberFormat="1" applyFont="1" applyFill="1" applyBorder="1" applyAlignment="1">
      <x:alignment wrapText="1"/>
    </x:xf>
    <x:xf numFmtId="0" fontId="4" fillId="9" borderId="0" xfId="0" applyNumberFormat="1" applyFont="1" applyFill="1" applyBorder="1" applyAlignment="1">
      <x:alignment wrapText="1"/>
    </x:xf>
    <x:xf numFmtId="0" fontId="4" fillId="10" borderId="0" xfId="0" applyNumberFormat="1" applyFont="1" applyFill="1" applyBorder="1" applyAlignment="1">
      <x:alignment wrapText="1"/>
    </x:xf>
    <x:xf numFmtId="0" fontId="4" fillId="11" borderId="0" xfId="0" applyNumberFormat="1" applyFont="1" applyFill="1" applyBorder="1" applyAlignment="1">
      <x:alignment wrapText="1"/>
    </x:xf>
    <x:xf numFmtId="0" fontId="4" fillId="12" borderId="0" xfId="0" applyNumberFormat="1" applyFont="1" applyFill="1" applyBorder="1" applyAlignment="1">
      <x:alignment wrapText="1"/>
    </x:xf>
    <x:xf numFmtId="0" fontId="4" fillId="13"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8" borderId="4"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4" fillId="10" borderId="4"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4" fillId="13" borderId="7" xfId="0" applyNumberFormat="1" applyFont="1" applyFill="1" applyBorder="1" applyAlignment="1">
      <x:alignment vertical="top"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top" wrapText="1"/>
    </x:xf>
    <x:xf numFmtId="0" fontId="5" fillId="9" borderId="10" xfId="0" applyNumberFormat="1" applyFont="1" applyFill="1" applyBorder="1" applyAlignment="1">
      <x:alignment vertical="top" wrapText="1"/>
    </x:xf>
    <x:xf numFmtId="0" fontId="5" fillId="9" borderId="11" xfId="0" applyNumberFormat="1" applyFont="1" applyFill="1" applyBorder="1" applyAlignment="1">
      <x:alignment vertical="top" wrapText="1"/>
    </x:xf>
    <x:xf numFmtId="0" fontId="5" fillId="9" borderId="12" xfId="0" applyNumberFormat="1" applyFont="1" applyFill="1" applyBorder="1" applyAlignment="1">
      <x:alignment vertical="top" wrapText="1"/>
    </x:xf>
    <x:xf numFmtId="0" fontId="5" fillId="9" borderId="13" xfId="0" applyNumberFormat="1" applyFont="1" applyFill="1" applyBorder="1" applyAlignment="1">
      <x:alignment vertical="top" wrapText="1"/>
    </x:xf>
    <x:xf numFmtId="0" fontId="5" fillId="9" borderId="14" xfId="0" applyNumberFormat="1" applyFont="1" applyFill="1" applyBorder="1" applyAlignment="1">
      <x:alignment vertical="top" wrapText="1"/>
    </x:xf>
    <x:xf numFmtId="0" fontId="5" fillId="9" borderId="15" xfId="0" applyNumberFormat="1" applyFont="1" applyFill="1" applyBorder="1" applyAlignment="1">
      <x:alignment vertical="top" wrapText="1"/>
    </x:xf>
    <x:xf numFmtId="0" fontId="5" fillId="9" borderId="16" xfId="0" applyNumberFormat="1" applyFont="1" applyFill="1" applyBorder="1" applyAlignment="1">
      <x:alignment vertical="top" wrapText="1"/>
    </x:xf>
    <x:xf numFmtId="0" fontId="5" fillId="9" borderId="17" xfId="0" applyNumberFormat="1" applyFont="1" applyFill="1" applyBorder="1" applyAlignment="1">
      <x:alignment vertical="top" wrapText="1"/>
    </x:xf>
    <x:xf numFmtId="0" fontId="6" fillId="2" borderId="0" xfId="0" applyNumberFormat="1" applyFont="1" applyFill="1" applyBorder="1" applyAlignment="1">
      <x:alignment vertical="center"/>
    </x:xf>
    <x:xf numFmtId="0" fontId="7" fillId="3" borderId="0" xfId="0" applyNumberFormat="1" applyFont="1" applyFill="1" applyBorder="1" applyAlignment="1">
      <x:alignment wrapText="1"/>
    </x:xf>
    <x:xf numFmtId="0" fontId="8" fillId="0" borderId="0" xfId="0" applyNumberFormat="1" applyFont="1" applyFill="1" applyBorder="1"/>
    <x:xf numFmtId="0" fontId="6" fillId="4" borderId="0" xfId="0" applyNumberFormat="1" applyFont="1" applyFill="1" applyBorder="1" applyAlignment="1">
      <x:alignment vertical="center"/>
    </x:xf>
    <x:xf numFmtId="0" fontId="9" fillId="5" borderId="1" xfId="0" applyNumberFormat="1" applyFont="1" applyFill="1" applyBorder="1" applyAlignment="1">
      <x:alignment vertical="top"/>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9" fillId="5" borderId="4" xfId="0" applyNumberFormat="1" applyFont="1" applyFill="1" applyBorder="1" applyAlignment="1">
      <x:alignment vertical="top"/>
    </x:xf>
    <x:xf numFmtId="0" fontId="8" fillId="0" borderId="5"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9" fillId="5" borderId="7" xfId="0" applyNumberFormat="1" applyFont="1" applyFill="1" applyBorder="1" applyAlignment="1">
      <x:alignment vertical="top"/>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9" fillId="6" borderId="1" xfId="0" applyNumberFormat="1" applyFont="1" applyFill="1" applyBorder="1" applyAlignment="1">
      <x:alignment vertical="top" wrapText="1"/>
    </x:xf>
    <x:xf numFmtId="0" fontId="9" fillId="6" borderId="2" xfId="0" applyNumberFormat="1" applyFont="1" applyFill="1" applyBorder="1" applyAlignment="1">
      <x:alignment vertical="top" wrapText="1"/>
    </x:xf>
    <x:xf numFmtId="0" fontId="9" fillId="6" borderId="3" xfId="0" applyNumberFormat="1" applyFont="1" applyFill="1" applyBorder="1" applyAlignment="1">
      <x:alignment vertical="top" wrapText="1"/>
    </x:xf>
    <x:xf numFmtId="0" fontId="9" fillId="7" borderId="4" xfId="0" applyNumberFormat="1" applyFont="1" applyFill="1" applyBorder="1" applyAlignment="1">
      <x:alignment vertical="top" wrapText="1"/>
    </x:xf>
    <x:xf numFmtId="0" fontId="9" fillId="8" borderId="4" xfId="0" applyNumberFormat="1" applyFont="1" applyFill="1" applyBorder="1" applyAlignment="1">
      <x:alignment vertical="top" wrapText="1"/>
    </x:xf>
    <x:xf numFmtId="0" fontId="9" fillId="9" borderId="4"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1" borderId="4" xfId="0" applyNumberFormat="1" applyFont="1" applyFill="1" applyBorder="1" applyAlignment="1">
      <x:alignment vertical="top" wrapText="1"/>
    </x:xf>
    <x:xf numFmtId="0" fontId="9" fillId="12" borderId="4" xfId="0" applyNumberFormat="1" applyFont="1" applyFill="1" applyBorder="1" applyAlignment="1">
      <x:alignment vertical="top" wrapText="1"/>
    </x:xf>
    <x:xf numFmtId="0" fontId="9" fillId="13" borderId="7" xfId="0" applyNumberFormat="1" applyFont="1" applyFill="1" applyBorder="1" applyAlignment="1">
      <x:alignment vertical="top" wrapText="1"/>
    </x:xf>
    <x:xf numFmtId="0" fontId="9" fillId="5" borderId="4" xfId="0" applyNumberFormat="1" applyFont="1" applyFill="1" applyBorder="1" applyAlignment="1">
      <x:alignment vertical="top" wrapText="1"/>
    </x:xf>
    <x:xf numFmtId="0" fontId="9" fillId="5" borderId="7" xfId="0" applyNumberFormat="1" applyFont="1" applyFill="1" applyBorder="1" applyAlignment="1">
      <x:alignment vertical="top" wrapText="1"/>
    </x:xf>
    <x:xf numFmtId="0" fontId="10" fillId="9" borderId="10" xfId="0" applyNumberFormat="1" applyFont="1" applyFill="1" applyBorder="1" applyAlignment="1">
      <x:alignment vertical="top" wrapText="1"/>
    </x:xf>
    <x:xf numFmtId="0" fontId="10" fillId="9" borderId="11" xfId="0" applyNumberFormat="1" applyFont="1" applyFill="1" applyBorder="1" applyAlignment="1">
      <x:alignment vertical="top" wrapText="1"/>
    </x:xf>
    <x:xf numFmtId="0" fontId="10" fillId="9" borderId="12" xfId="0" applyNumberFormat="1" applyFont="1" applyFill="1" applyBorder="1" applyAlignment="1">
      <x:alignment vertical="top" wrapText="1"/>
    </x:xf>
    <x:xf numFmtId="0" fontId="10" fillId="9" borderId="13"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4"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16" xfId="0" applyNumberFormat="1" applyFont="1" applyFill="1" applyBorder="1" applyAlignment="1">
      <x:alignment vertical="top" wrapText="1"/>
    </x:xf>
    <x:xf numFmtId="0" fontId="10" fillId="9" borderId="17" xfId="0" applyNumberFormat="1" applyFont="1" applyFill="1" applyBorder="1" applyAlignment="1">
      <x:alignment vertical="top" wrapText="1"/>
    </x:xf>
    <x:xf numFmtId="0" fontId="4" fillId="0" borderId="0" xfId="0" applyNumberFormat="1" applyFont="1" applyFill="1" applyBorder="1" applyAlignment="1">
      <x:alignment horizontal="center"/>
    </x:xf>
    <x:xf numFmtId="0" fontId="4" fillId="7" borderId="0" xfId="0" applyNumberFormat="1" applyFont="1" applyFill="1" applyBorder="1" applyAlignment="1">
      <x:alignment horizontal="center"/>
    </x:xf>
    <x:xf numFmtId="0" fontId="4" fillId="8" borderId="0" xfId="0" applyNumberFormat="1" applyFont="1" applyFill="1" applyBorder="1" applyAlignment="1">
      <x:alignment horizontal="center"/>
    </x:xf>
    <x:xf numFmtId="0" fontId="4" fillId="9" borderId="0" xfId="0" applyNumberFormat="1" applyFont="1" applyFill="1" applyBorder="1" applyAlignment="1">
      <x:alignment horizontal="center"/>
    </x:xf>
    <x:xf numFmtId="0" fontId="4" fillId="10" borderId="0" xfId="0" applyNumberFormat="1" applyFont="1" applyFill="1" applyBorder="1" applyAlignment="1">
      <x:alignment horizontal="center"/>
    </x:xf>
    <x:xf numFmtId="0" fontId="4" fillId="11" borderId="0" xfId="0" applyNumberFormat="1" applyFont="1" applyFill="1" applyBorder="1" applyAlignment="1">
      <x:alignment horizontal="center"/>
    </x:xf>
    <x:xf numFmtId="0" fontId="4" fillId="12" borderId="0" xfId="0" applyNumberFormat="1" applyFont="1" applyFill="1" applyBorder="1" applyAlignment="1">
      <x:alignment horizontal="center"/>
    </x:xf>
    <x:xf numFmtId="0" fontId="4" fillId="13" borderId="0" xfId="0" applyNumberFormat="1" applyFont="1" applyFill="1" applyBorder="1" applyAlignment="1">
      <x:alignment horizontal="center"/>
    </x:xf>
    <x:xf numFmtId="0" fontId="4" fillId="14" borderId="0" xfId="0" applyNumberFormat="1" applyFont="1" applyFill="1" applyBorder="1" applyAlignment="1">
      <x:alignment horizontal="center"/>
    </x:xf>
    <x:xf numFmtId="0" fontId="4" fillId="15" borderId="0"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15" borderId="0" xfId="0" applyNumberFormat="1" applyFont="1" applyFill="1" applyBorder="1" applyAlignment="1">
      <x:alignment horizontal="center" vertical="top" wrapText="1"/>
    </x:xf>
    <x:xf numFmtId="0" fontId="12" fillId="15" borderId="0" xfId="0" applyNumberFormat="1" applyFont="1" applyFill="1" applyBorder="1" applyAlignment="1">
      <x:alignment horizontal="center" vertical="top" wrapText="1"/>
    </x:xf>
    <x:xf numFmtId="0" fontId="0" fillId="14" borderId="0" xfId="0" applyNumberFormat="1" applyFont="1" applyFill="1" applyBorder="1" applyAlignment="1">
      <x:alignment horizontal="center" vertical="top" wrapText="1"/>
    </x:xf>
    <x:xf numFmtId="0" fontId="13" fillId="14" borderId="0" xfId="0" applyNumberFormat="1" applyFont="1" applyFill="1" applyBorder="1" applyAlignment="1">
      <x:alignment horizontal="center" vertical="top" wrapText="1"/>
    </x:xf>
    <x:xf numFmtId="0" fontId="0" fillId="15" borderId="0" xfId="0" applyNumberFormat="1" applyFont="1" applyFill="1" applyBorder="1" applyAlignment="1">
      <x:alignment vertical="top" wrapText="1"/>
    </x:xf>
    <x:xf numFmtId="0" fontId="0" fillId="9" borderId="0" xfId="0" applyNumberFormat="1" applyFont="1" applyFill="1" applyBorder="1" applyAlignment="1">
      <x:alignment horizontal="center" vertical="top" wrapText="1"/>
    </x:xf>
    <x:xf numFmtId="0" fontId="14" fillId="9" borderId="0" xfId="0" applyNumberFormat="1" applyFont="1" applyFill="1" applyBorder="1" applyAlignment="1">
      <x:alignment horizontal="center" vertical="top" wrapText="1"/>
    </x:xf>
    <x:xf numFmtId="0" fontId="0" fillId="14"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3" fillId="2" borderId="18" xfId="0" applyNumberFormat="1" applyFont="1" applyFill="1" applyBorder="1" applyAlignment="1">
      <x:alignment vertical="center" wrapText="1"/>
    </x:xf>
    <x:xf numFmtId="0" fontId="3" fillId="2" borderId="19" xfId="0" applyNumberFormat="1" applyFont="1" applyFill="1" applyBorder="1" applyAlignment="1">
      <x:alignment vertical="center" wrapText="1"/>
    </x:xf>
    <x:xf numFmtId="0" fontId="3" fillId="2" borderId="20" xfId="0" applyNumberFormat="1" applyFont="1" applyFill="1" applyBorder="1" applyAlignment="1">
      <x:alignment vertical="center" wrapText="1"/>
    </x:xf>
    <x:xf numFmtId="200" fontId="0" fillId="0" borderId="21" xfId="0" applyNumberFormat="1" applyFont="1" applyFill="1" applyBorder="1" applyAlignment="1">
      <x:alignment horizontal="center" vertical="top" wrapText="1"/>
    </x:xf>
    <x:xf numFmtId="0" fontId="4" fillId="0" borderId="22"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4" fillId="10" borderId="22" xfId="0" applyNumberFormat="1" applyFont="1" applyFill="1" applyBorder="1" applyAlignment="1">
      <x:alignment vertical="top" wrapText="1"/>
    </x:xf>
    <x:xf numFmtId="0" fontId="12" fillId="15" borderId="22" xfId="0" applyNumberFormat="1" applyFont="1" applyFill="1" applyBorder="1" applyAlignment="1">
      <x:alignment horizontal="center" vertical="top" wrapText="1"/>
    </x:xf>
    <x:xf numFmtId="0" fontId="13" fillId="14" borderId="22" xfId="0" applyNumberFormat="1" applyFont="1" applyFill="1" applyBorder="1" applyAlignment="1">
      <x:alignment horizontal="center" vertical="top" wrapText="1"/>
    </x:xf>
    <x:xf numFmtId="0" fontId="0" fillId="15" borderId="22" xfId="0" applyNumberFormat="1" applyFont="1" applyFill="1" applyBorder="1" applyAlignment="1">
      <x:alignment vertical="top" wrapText="1"/>
    </x:xf>
    <x:xf numFmtId="0" fontId="11"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4" fillId="9" borderId="22" xfId="0" applyNumberFormat="1" applyFont="1" applyFill="1" applyBorder="1" applyAlignment="1">
      <x:alignment vertical="top" wrapText="1"/>
    </x:xf>
    <x:xf numFmtId="0" fontId="14" fillId="9" borderId="22" xfId="0" applyNumberFormat="1" applyFont="1" applyFill="1" applyBorder="1" applyAlignment="1">
      <x:alignment horizontal="center" vertical="top" wrapText="1"/>
    </x:xf>
    <x:xf numFmtId="0" fontId="0" fillId="14" borderId="22" xfId="0" applyNumberFormat="1" applyFont="1" applyFill="1" applyBorder="1" applyAlignment="1">
      <x:alignment vertical="top" wrapText="1"/>
    </x:xf>
    <x:xf numFmtId="0" fontId="4" fillId="11" borderId="22" xfId="0" applyNumberFormat="1" applyFont="1" applyFill="1" applyBorder="1" applyAlignment="1">
      <x:alignment vertical="top" wrapText="1"/>
    </x:xf>
    <x:xf numFmtId="0" fontId="4" fillId="7" borderId="22" xfId="0" applyNumberFormat="1" applyFont="1" applyFill="1" applyBorder="1" applyAlignment="1">
      <x:alignment vertical="top" wrapText="1"/>
    </x:xf>
    <x:xf numFmtId="0" fontId="0" fillId="16" borderId="22" xfId="0" applyNumberFormat="1" applyFont="1" applyFill="1" applyBorder="1" applyAlignment="1">
      <x:alignment vertical="top" wrapText="1"/>
    </x:xf>
    <x:xf numFmtId="0" fontId="4" fillId="12" borderId="22" xfId="0" applyNumberFormat="1" applyFont="1" applyFill="1" applyBorder="1" applyAlignment="1">
      <x:alignment vertical="top" wrapText="1"/>
    </x:xf>
    <x:xf numFmtId="0" fontId="4" fillId="8" borderId="22" xfId="0" applyNumberFormat="1" applyFont="1" applyFill="1" applyBorder="1" applyAlignment="1">
      <x:alignment vertical="top" wrapText="1"/>
    </x:xf>
    <x:xf numFmtId="0" fontId="4" fillId="13" borderId="22" xfId="0" applyNumberFormat="1" applyFont="1" applyFill="1" applyBorder="1" applyAlignment="1">
      <x:alignment vertical="top" wrapText="1"/>
    </x:xf>
    <x:xf numFmtId="200" fontId="0" fillId="0" borderId="24" xfId="0" applyNumberFormat="1" applyFont="1" applyFill="1" applyBorder="1" applyAlignment="1">
      <x:alignment horizontal="center" vertical="top" wrapText="1"/>
    </x:xf>
    <x:xf numFmtId="0" fontId="4" fillId="0" borderId="25"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4" fillId="13" borderId="25" xfId="0" applyNumberFormat="1" applyFont="1" applyFill="1" applyBorder="1" applyAlignment="1">
      <x:alignment vertical="top" wrapText="1"/>
    </x:xf>
    <x:xf numFmtId="0" fontId="12" fillId="15" borderId="25" xfId="0" applyNumberFormat="1" applyFont="1" applyFill="1" applyBorder="1" applyAlignment="1">
      <x:alignment horizontal="center" vertical="top" wrapText="1"/>
    </x:xf>
    <x:xf numFmtId="0" fontId="0" fillId="15" borderId="25" xfId="0" applyNumberFormat="1" applyFont="1" applyFill="1" applyBorder="1" applyAlignment="1">
      <x:alignment vertical="top" wrapText="1"/>
    </x:xf>
    <x:xf numFmtId="0" fontId="11"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14" borderId="0" xfId="0" applyNumberFormat="1" applyFont="1" applyFill="1" applyBorder="1"/>
    <x:xf numFmtId="0" fontId="15" fillId="14" borderId="0" xfId="0" applyNumberFormat="1" applyFont="1" applyFill="1" applyBorder="1"/>
    <x:xf numFmtId="0" fontId="15" fillId="14" borderId="0" xfId="0" applyNumberFormat="1" applyFont="1" applyFill="1" applyBorder="1" applyAlignment="1">
      <x:alignment wrapText="1"/>
    </x:xf>
    <x:xf numFmtId="0" fontId="15" fillId="14" borderId="27" xfId="0" applyNumberFormat="1" applyFont="1" applyFill="1" applyBorder="1" applyAlignment="1">
      <x:alignment wrapText="1"/>
    </x:xf>
    <x:xf numFmtId="0" fontId="15" fillId="14" borderId="28" xfId="0" applyNumberFormat="1" applyFont="1" applyFill="1" applyBorder="1" applyAlignment="1">
      <x:alignment wrapText="1"/>
    </x:xf>
    <x:xf numFmtId="0" fontId="15" fillId="14" borderId="29" xfId="0" applyNumberFormat="1" applyFont="1" applyFill="1" applyBorder="1" applyAlignment="1">
      <x:alignment wrapText="1"/>
    </x:xf>
    <x:xf numFmtId="0" fontId="15" fillId="14" borderId="30" xfId="0" applyNumberFormat="1" applyFont="1" applyFill="1" applyBorder="1" applyAlignment="1">
      <x:alignment wrapText="1"/>
    </x:xf>
    <x:xf numFmtId="0" fontId="15" fillId="14" borderId="31" xfId="0" applyNumberFormat="1" applyFont="1" applyFill="1" applyBorder="1" applyAlignment="1">
      <x:alignment wrapText="1"/>
    </x:xf>
    <x:xf numFmtId="0" fontId="15" fillId="14" borderId="32" xfId="0" applyNumberFormat="1" applyFont="1" applyFill="1" applyBorder="1" applyAlignment="1">
      <x:alignment wrapText="1"/>
    </x:xf>
    <x:xf numFmtId="0" fontId="15" fillId="14" borderId="33" xfId="0" applyNumberFormat="1" applyFont="1" applyFill="1" applyBorder="1" applyAlignment="1">
      <x:alignment wrapText="1"/>
    </x:xf>
    <x:xf numFmtId="0" fontId="15" fillId="14" borderId="34" xfId="0" applyNumberFormat="1" applyFont="1" applyFill="1" applyBorder="1" applyAlignment="1">
      <x:alignment wrapText="1"/>
    </x:xf>
    <x:xf numFmtId="0" fontId="15" fillId="14" borderId="35" xfId="0" applyNumberFormat="1" applyFont="1" applyFill="1" applyBorder="1" applyAlignment="1">
      <x:alignment wrapText="1"/>
    </x:xf>
    <x:xf numFmtId="0" fontId="16" fillId="0" borderId="0" xfId="0" applyNumberFormat="1" applyFont="1" applyFill="1" applyBorder="1"/>
    <x:xf numFmtId="0" fontId="4" fillId="0" borderId="0" xfId="0" applyNumberFormat="1" applyFont="1" applyFill="1" applyBorder="1" applyAlignment="1">
      <x:alignment horizontal="center" wrapText="1"/>
    </x:xf>
    <x:xf numFmtId="0" fontId="16" fillId="0"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16" fillId="0" borderId="0"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0" borderId="4" xfId="0" applyNumberFormat="1" applyFont="1" applyFill="1" applyBorder="1" applyAlignment="1">
      <x:alignment horizontal="center" vertical="top" wrapText="1"/>
    </x:xf>
    <x:xf numFmtId="0" fontId="16" fillId="0" borderId="5" xfId="0" applyNumberFormat="1" applyFont="1" applyFill="1" applyBorder="1" applyAlignment="1">
      <x:alignment vertical="top" wrapText="1"/>
    </x:xf>
    <x:xf numFmtId="0" fontId="4" fillId="0" borderId="7" xfId="0" applyNumberFormat="1" applyFont="1" applyFill="1" applyBorder="1" applyAlignment="1">
      <x:alignment horizontal="center" vertical="top" wrapText="1"/>
    </x:xf>
    <x:xf numFmtId="0" fontId="16" fillId="0" borderId="8" xfId="0" applyNumberFormat="1" applyFont="1" applyFill="1" applyBorder="1" applyAlignment="1">
      <x:alignment vertical="top" wrapText="1"/>
    </x:xf>
    <x:xf numFmtId="0" fontId="13" fillId="14" borderId="0" xfId="0" applyNumberFormat="1" applyFont="1" applyFill="1" applyBorder="1"/>
    <x:xf numFmtId="0" fontId="13" fillId="14" borderId="0" xfId="0" applyNumberFormat="1" applyFont="1" applyFill="1" applyBorder="1" applyAlignment="1">
      <x:alignment horizontal="center"/>
    </x:xf>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4" fillId="5" borderId="4" xfId="0" applyNumberFormat="1" applyFont="1" applyFill="1" applyBorder="1"/>
    <x:xf numFmtId="0" fontId="0" fillId="0" borderId="5" xfId="0" applyNumberFormat="1" applyFont="1" applyFill="1" applyBorder="1"/>
    <x:xf numFmtId="0" fontId="13" fillId="14" borderId="5" xfId="0" applyNumberFormat="1" applyFont="1" applyFill="1" applyBorder="1" applyAlignment="1">
      <x:alignment horizontal="center"/>
    </x:xf>
    <x:xf numFmtId="0" fontId="0" fillId="0" borderId="6" xfId="0" applyNumberFormat="1" applyFont="1" applyFill="1" applyBorder="1"/>
    <x:xf numFmtId="0" fontId="4" fillId="5" borderId="7" xfId="0" applyNumberFormat="1" applyFont="1" applyFill="1" applyBorder="1"/>
    <x:xf numFmtId="0" fontId="0" fillId="0" borderId="8" xfId="0" applyNumberFormat="1" applyFont="1" applyFill="1" applyBorder="1"/>
    <x:xf numFmtId="0" fontId="13" fillId="14" borderId="8" xfId="0" applyNumberFormat="1" applyFont="1" applyFill="1" applyBorder="1" applyAlignment="1">
      <x:alignment horizontal="center"/>
    </x:xf>
    <x:xf numFmtId="0" fontId="0" fillId="0" borderId="9"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4" fillId="5" borderId="4" xfId="0" applyNumberFormat="1" applyFont="1" applyFill="1" applyBorder="1" applyAlignment="1">
      <x:alignment wrapText="1"/>
    </x:xf>
    <x:xf numFmtId="0" fontId="0" fillId="0" borderId="5" xfId="0" applyNumberFormat="1" applyFont="1" applyFill="1" applyBorder="1" applyAlignment="1">
      <x:alignment wrapText="1"/>
    </x:xf>
    <x:xf numFmtId="0" fontId="13" fillId="14" borderId="5" xfId="0" applyNumberFormat="1" applyFont="1" applyFill="1" applyBorder="1" applyAlignment="1">
      <x:alignment horizontal="center" wrapText="1"/>
    </x:xf>
    <x:xf numFmtId="0" fontId="0" fillId="0" borderId="6" xfId="0" applyNumberFormat="1" applyFont="1" applyFill="1" applyBorder="1" applyAlignment="1">
      <x:alignment wrapText="1"/>
    </x:xf>
    <x:xf numFmtId="0" fontId="4" fillId="5" borderId="7" xfId="0" applyNumberFormat="1" applyFont="1" applyFill="1" applyBorder="1" applyAlignment="1">
      <x:alignment wrapText="1"/>
    </x:xf>
    <x:xf numFmtId="0" fontId="0" fillId="0" borderId="8" xfId="0" applyNumberFormat="1" applyFont="1" applyFill="1" applyBorder="1" applyAlignment="1">
      <x:alignment wrapText="1"/>
    </x:xf>
    <x:xf numFmtId="0" fontId="13" fillId="14" borderId="8" xfId="0" applyNumberFormat="1" applyFont="1" applyFill="1" applyBorder="1" applyAlignment="1">
      <x:alignment horizontal="center" wrapText="1"/>
    </x:xf>
    <x:xf numFmtId="0" fontId="0" fillId="0" borderId="9"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13" fillId="14" borderId="5" xfId="0" applyNumberFormat="1" applyFont="1" applyFill="1" applyBorder="1" applyAlignment="1">
      <x:alignment horizontal="center" vertical="center" wrapText="1"/>
    </x:xf>
    <x:xf numFmtId="0" fontId="0" fillId="0"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13" fillId="14" borderId="8" xfId="0" applyNumberFormat="1" applyFont="1" applyFill="1" applyBorder="1" applyAlignment="1">
      <x:alignment horizontal="center" vertical="center" wrapText="1"/>
    </x:xf>
    <x:xf numFmtId="0" fontId="0" fillId="0" borderId="9" xfId="0" applyNumberFormat="1" applyFont="1" applyFill="1" applyBorder="1" applyAlignment="1">
      <x:alignment vertical="center" wrapText="1"/>
    </x:xf>
    <x:xf numFmtId="0" fontId="5" fillId="9" borderId="0" xfId="0" applyNumberFormat="1" applyFont="1" applyFill="1" applyBorder="1" applyAlignment="1">
      <x:alignment vertical="center" wrapText="1"/>
    </x:xf>
    <x:xf numFmtId="0" fontId="17" fillId="2" borderId="0" xfId="0" applyNumberFormat="1" applyFont="1" applyFill="1" applyBorder="1" applyAlignment="1">
      <x:alignment vertical="center"/>
    </x:xf>
    <x:xf numFmtId="0" fontId="18" fillId="3" borderId="0" xfId="0" applyNumberFormat="1" applyFont="1" applyFill="1" applyBorder="1" applyAlignment="1">
      <x:alignment wrapText="1"/>
    </x:xf>
    <x:xf numFmtId="0" fontId="19" fillId="0" borderId="0" xfId="0" applyNumberFormat="1" applyFont="1" applyFill="1" applyBorder="1"/>
    <x:xf numFmtId="0" fontId="17" fillId="4" borderId="0" xfId="0" applyNumberFormat="1" applyFont="1" applyFill="1" applyBorder="1" applyAlignment="1">
      <x:alignment vertical="center"/>
    </x:xf>
    <x:xf numFmtId="0" fontId="20" fillId="5" borderId="1" xfId="0" applyNumberFormat="1" applyFont="1" applyFill="1" applyBorder="1" applyAlignment="1">
      <x:alignment vertical="top"/>
    </x:xf>
    <x:xf numFmtId="0" fontId="19" fillId="0" borderId="2" xfId="0" applyNumberFormat="1" applyFont="1" applyFill="1" applyBorder="1" applyAlignment="1">
      <x:alignment vertical="top" wrapText="1"/>
    </x:xf>
    <x:xf numFmtId="0" fontId="19" fillId="0" borderId="3" xfId="0" applyNumberFormat="1" applyFont="1" applyFill="1" applyBorder="1" applyAlignment="1">
      <x:alignment vertical="top" wrapText="1"/>
    </x:xf>
    <x:xf numFmtId="0" fontId="20" fillId="5" borderId="4" xfId="0" applyNumberFormat="1" applyFont="1" applyFill="1" applyBorder="1" applyAlignment="1">
      <x:alignment vertical="top"/>
    </x:xf>
    <x:xf numFmtId="0" fontId="19" fillId="0" borderId="5" xfId="0" applyNumberFormat="1" applyFont="1" applyFill="1" applyBorder="1" applyAlignment="1">
      <x:alignment vertical="top" wrapText="1"/>
    </x:xf>
    <x:xf numFmtId="0" fontId="19" fillId="0" borderId="6" xfId="0" applyNumberFormat="1" applyFont="1" applyFill="1" applyBorder="1" applyAlignment="1">
      <x:alignment vertical="top" wrapText="1"/>
    </x:xf>
    <x:xf numFmtId="0" fontId="20" fillId="5" borderId="7" xfId="0" applyNumberFormat="1" applyFont="1" applyFill="1" applyBorder="1" applyAlignment="1">
      <x:alignment vertical="top"/>
    </x:xf>
    <x:xf numFmtId="0" fontId="19" fillId="0" borderId="8" xfId="0" applyNumberFormat="1" applyFont="1" applyFill="1" applyBorder="1" applyAlignment="1">
      <x:alignment vertical="top" wrapText="1"/>
    </x:xf>
    <x:xf numFmtId="0" fontId="19" fillId="0" borderId="9" xfId="0" applyNumberFormat="1" applyFont="1" applyFill="1" applyBorder="1" applyAlignment="1">
      <x:alignment vertical="top" wrapText="1"/>
    </x:xf>
    <x:xf numFmtId="0" fontId="20" fillId="6" borderId="1" xfId="0" applyNumberFormat="1" applyFont="1" applyFill="1" applyBorder="1" applyAlignment="1">
      <x:alignment vertical="top" wrapText="1"/>
    </x:xf>
    <x:xf numFmtId="0" fontId="20" fillId="6" borderId="2" xfId="0" applyNumberFormat="1" applyFont="1" applyFill="1" applyBorder="1" applyAlignment="1">
      <x:alignment vertical="top" wrapText="1"/>
    </x:xf>
    <x:xf numFmtId="0" fontId="20" fillId="6" borderId="3" xfId="0" applyNumberFormat="1" applyFont="1" applyFill="1" applyBorder="1" applyAlignment="1">
      <x:alignment vertical="top" wrapText="1"/>
    </x:xf>
    <x:xf numFmtId="0" fontId="20" fillId="7" borderId="4" xfId="0" applyNumberFormat="1" applyFont="1" applyFill="1" applyBorder="1" applyAlignment="1">
      <x:alignment vertical="top" wrapText="1"/>
    </x:xf>
    <x:xf numFmtId="0" fontId="20" fillId="8" borderId="4" xfId="0" applyNumberFormat="1" applyFont="1" applyFill="1" applyBorder="1" applyAlignment="1">
      <x:alignment vertical="top" wrapText="1"/>
    </x:xf>
    <x:xf numFmtId="0" fontId="20" fillId="9" borderId="4" xfId="0" applyNumberFormat="1" applyFont="1" applyFill="1" applyBorder="1" applyAlignment="1">
      <x:alignment vertical="top" wrapText="1"/>
    </x:xf>
    <x:xf numFmtId="0" fontId="20" fillId="10" borderId="4" xfId="0" applyNumberFormat="1" applyFont="1" applyFill="1" applyBorder="1" applyAlignment="1">
      <x:alignment vertical="top" wrapText="1"/>
    </x:xf>
    <x:xf numFmtId="0" fontId="20" fillId="11" borderId="4" xfId="0" applyNumberFormat="1" applyFont="1" applyFill="1" applyBorder="1" applyAlignment="1">
      <x:alignment vertical="top" wrapText="1"/>
    </x:xf>
    <x:xf numFmtId="0" fontId="20" fillId="12" borderId="4" xfId="0" applyNumberFormat="1" applyFont="1" applyFill="1" applyBorder="1" applyAlignment="1">
      <x:alignment vertical="top" wrapText="1"/>
    </x:xf>
    <x:xf numFmtId="0" fontId="20" fillId="13" borderId="7" xfId="0" applyNumberFormat="1" applyFont="1" applyFill="1" applyBorder="1" applyAlignment="1">
      <x:alignment vertical="top" wrapText="1"/>
    </x:xf>
    <x:xf numFmtId="0" fontId="20" fillId="5" borderId="4" xfId="0" applyNumberFormat="1" applyFont="1" applyFill="1" applyBorder="1" applyAlignment="1">
      <x:alignment vertical="top" wrapText="1"/>
    </x:xf>
    <x:xf numFmtId="0" fontId="20" fillId="5" borderId="7" xfId="0" applyNumberFormat="1" applyFont="1" applyFill="1" applyBorder="1" applyAlignment="1">
      <x:alignment vertical="top" wrapText="1"/>
    </x:xf>
    <x:xf numFmtId="0" fontId="21" fillId="9" borderId="10" xfId="0" applyNumberFormat="1" applyFont="1" applyFill="1" applyBorder="1" applyAlignment="1">
      <x:alignment vertical="top" wrapText="1"/>
    </x:xf>
    <x:xf numFmtId="0" fontId="21" fillId="9" borderId="11" xfId="0" applyNumberFormat="1" applyFont="1" applyFill="1" applyBorder="1" applyAlignment="1">
      <x:alignment vertical="top" wrapText="1"/>
    </x:xf>
    <x:xf numFmtId="0" fontId="21" fillId="9" borderId="12" xfId="0" applyNumberFormat="1" applyFont="1" applyFill="1" applyBorder="1" applyAlignment="1">
      <x:alignment vertical="top" wrapText="1"/>
    </x:xf>
    <x:xf numFmtId="0" fontId="21" fillId="9" borderId="13" xfId="0" applyNumberFormat="1" applyFont="1" applyFill="1" applyBorder="1" applyAlignment="1">
      <x:alignment vertical="top" wrapText="1"/>
    </x:xf>
    <x:xf numFmtId="0" fontId="21" fillId="9" borderId="0" xfId="0" applyNumberFormat="1" applyFont="1" applyFill="1" applyBorder="1" applyAlignment="1">
      <x:alignment vertical="top" wrapText="1"/>
    </x:xf>
    <x:xf numFmtId="0" fontId="21" fillId="9" borderId="14" xfId="0" applyNumberFormat="1" applyFont="1" applyFill="1" applyBorder="1" applyAlignment="1">
      <x:alignment vertical="top" wrapText="1"/>
    </x:xf>
    <x:xf numFmtId="0" fontId="21" fillId="9" borderId="15" xfId="0" applyNumberFormat="1" applyFont="1" applyFill="1" applyBorder="1" applyAlignment="1">
      <x:alignment vertical="top" wrapText="1"/>
    </x:xf>
    <x:xf numFmtId="0" fontId="21" fillId="9" borderId="16" xfId="0" applyNumberFormat="1" applyFont="1" applyFill="1" applyBorder="1" applyAlignment="1">
      <x:alignment vertical="top" wrapText="1"/>
    </x:xf>
    <x:xf numFmtId="0" fontId="21" fillId="9" borderId="17" xfId="0" applyNumberFormat="1" applyFont="1" applyFill="1" applyBorder="1" applyAlignment="1">
      <x:alignment vertical="top" wrapText="1"/>
    </x:xf>
    <x:xf numFmtId="0" fontId="20" fillId="0" borderId="0" xfId="0" applyNumberFormat="1" applyFont="1" applyFill="1" applyBorder="1" applyAlignment="1">
      <x:alignment horizontal="center"/>
    </x:xf>
    <x:xf numFmtId="0" fontId="20" fillId="7" borderId="0" xfId="0" applyNumberFormat="1" applyFont="1" applyFill="1" applyBorder="1" applyAlignment="1">
      <x:alignment horizontal="center"/>
    </x:xf>
    <x:xf numFmtId="0" fontId="20" fillId="8" borderId="0" xfId="0" applyNumberFormat="1" applyFont="1" applyFill="1" applyBorder="1" applyAlignment="1">
      <x:alignment horizontal="center"/>
    </x:xf>
    <x:xf numFmtId="0" fontId="20" fillId="9" borderId="0" xfId="0" applyNumberFormat="1" applyFont="1" applyFill="1" applyBorder="1" applyAlignment="1">
      <x:alignment horizontal="center"/>
    </x:xf>
    <x:xf numFmtId="0" fontId="20" fillId="10" borderId="0" xfId="0" applyNumberFormat="1" applyFont="1" applyFill="1" applyBorder="1" applyAlignment="1">
      <x:alignment horizontal="center"/>
    </x:xf>
    <x:xf numFmtId="0" fontId="20" fillId="11" borderId="0" xfId="0" applyNumberFormat="1" applyFont="1" applyFill="1" applyBorder="1" applyAlignment="1">
      <x:alignment horizontal="center"/>
    </x:xf>
    <x:xf numFmtId="0" fontId="20" fillId="12" borderId="0" xfId="0" applyNumberFormat="1" applyFont="1" applyFill="1" applyBorder="1" applyAlignment="1">
      <x:alignment horizontal="center"/>
    </x:xf>
    <x:xf numFmtId="0" fontId="20" fillId="13" borderId="0" xfId="0" applyNumberFormat="1" applyFont="1" applyFill="1" applyBorder="1" applyAlignment="1">
      <x:alignment horizontal="center"/>
    </x:xf>
    <x:xf numFmtId="0" fontId="20" fillId="14" borderId="0" xfId="0" applyNumberFormat="1" applyFont="1" applyFill="1" applyBorder="1" applyAlignment="1">
      <x:alignment horizontal="center"/>
    </x:xf>
    <x:xf numFmtId="0" fontId="20" fillId="15" borderId="0" xfId="0" applyNumberFormat="1" applyFont="1" applyFill="1" applyBorder="1" applyAlignment="1">
      <x:alignment horizontal="center"/>
    </x:xf>
    <x:xf numFmtId="0" fontId="17" fillId="2" borderId="18" xfId="0" applyNumberFormat="1" applyFont="1" applyFill="1" applyBorder="1" applyAlignment="1">
      <x:alignment vertical="center" wrapText="1"/>
    </x:xf>
    <x:xf numFmtId="0" fontId="17" fillId="2" borderId="19" xfId="0" applyNumberFormat="1" applyFont="1" applyFill="1" applyBorder="1" applyAlignment="1">
      <x:alignment vertical="center" wrapText="1"/>
    </x:xf>
    <x:xf numFmtId="0" fontId="17" fillId="2" borderId="20" xfId="0" applyNumberFormat="1" applyFont="1" applyFill="1" applyBorder="1" applyAlignment="1">
      <x:alignment vertical="center" wrapText="1"/>
    </x:xf>
    <x:xf numFmtId="200" fontId="19" fillId="0" borderId="21" xfId="0" applyNumberFormat="1" applyFont="1" applyFill="1" applyBorder="1" applyAlignment="1">
      <x:alignment horizontal="center" vertical="top" wrapText="1"/>
    </x:xf>
    <x:xf numFmtId="0" fontId="20" fillId="0" borderId="22" xfId="0" applyNumberFormat="1" applyFont="1" applyFill="1" applyBorder="1" applyAlignment="1">
      <x:alignment vertical="top" wrapText="1"/>
    </x:xf>
    <x:xf numFmtId="0" fontId="19" fillId="0" borderId="22" xfId="0" applyNumberFormat="1" applyFont="1" applyFill="1" applyBorder="1" applyAlignment="1">
      <x:alignment vertical="top" wrapText="1"/>
    </x:xf>
    <x:xf numFmtId="0" fontId="20" fillId="10" borderId="22" xfId="0" applyNumberFormat="1" applyFont="1" applyFill="1" applyBorder="1" applyAlignment="1">
      <x:alignment vertical="top" wrapText="1"/>
    </x:xf>
    <x:xf numFmtId="0" fontId="22" fillId="15" borderId="22" xfId="0" applyNumberFormat="1" applyFont="1" applyFill="1" applyBorder="1" applyAlignment="1">
      <x:alignment horizontal="center" vertical="top" wrapText="1"/>
    </x:xf>
    <x:xf numFmtId="0" fontId="23" fillId="14" borderId="22" xfId="0" applyNumberFormat="1" applyFont="1" applyFill="1" applyBorder="1" applyAlignment="1">
      <x:alignment horizontal="center" vertical="top" wrapText="1"/>
    </x:xf>
    <x:xf numFmtId="0" fontId="19" fillId="15" borderId="22" xfId="0" applyNumberFormat="1" applyFont="1" applyFill="1" applyBorder="1" applyAlignment="1">
      <x:alignment vertical="top" wrapText="1"/>
    </x:xf>
    <x:xf numFmtId="0" fontId="24" fillId="0" borderId="22" xfId="0" applyNumberFormat="1" applyFont="1" applyFill="1" applyBorder="1" applyAlignment="1">
      <x:alignment vertical="top" wrapText="1"/>
    </x:xf>
    <x:xf numFmtId="0" fontId="19" fillId="0" borderId="23" xfId="0" applyNumberFormat="1" applyFont="1" applyFill="1" applyBorder="1" applyAlignment="1">
      <x:alignment vertical="top" wrapText="1"/>
    </x:xf>
    <x:xf numFmtId="0" fontId="20" fillId="9" borderId="22" xfId="0" applyNumberFormat="1" applyFont="1" applyFill="1" applyBorder="1" applyAlignment="1">
      <x:alignment vertical="top" wrapText="1"/>
    </x:xf>
    <x:xf numFmtId="0" fontId="25" fillId="9" borderId="22" xfId="0" applyNumberFormat="1" applyFont="1" applyFill="1" applyBorder="1" applyAlignment="1">
      <x:alignment horizontal="center" vertical="top" wrapText="1"/>
    </x:xf>
    <x:xf numFmtId="0" fontId="19" fillId="14" borderId="22" xfId="0" applyNumberFormat="1" applyFont="1" applyFill="1" applyBorder="1" applyAlignment="1">
      <x:alignment vertical="top" wrapText="1"/>
    </x:xf>
    <x:xf numFmtId="0" fontId="20" fillId="11" borderId="22" xfId="0" applyNumberFormat="1" applyFont="1" applyFill="1" applyBorder="1" applyAlignment="1">
      <x:alignment vertical="top" wrapText="1"/>
    </x:xf>
    <x:xf numFmtId="0" fontId="20" fillId="7" borderId="22" xfId="0" applyNumberFormat="1" applyFont="1" applyFill="1" applyBorder="1" applyAlignment="1">
      <x:alignment vertical="top" wrapText="1"/>
    </x:xf>
    <x:xf numFmtId="0" fontId="19" fillId="16" borderId="22" xfId="0" applyNumberFormat="1" applyFont="1" applyFill="1" applyBorder="1" applyAlignment="1">
      <x:alignment vertical="top" wrapText="1"/>
    </x:xf>
    <x:xf numFmtId="0" fontId="20" fillId="12" borderId="22" xfId="0" applyNumberFormat="1" applyFont="1" applyFill="1" applyBorder="1" applyAlignment="1">
      <x:alignment vertical="top" wrapText="1"/>
    </x:xf>
    <x:xf numFmtId="0" fontId="20" fillId="8" borderId="22" xfId="0" applyNumberFormat="1" applyFont="1" applyFill="1" applyBorder="1" applyAlignment="1">
      <x:alignment vertical="top" wrapText="1"/>
    </x:xf>
    <x:xf numFmtId="0" fontId="20" fillId="13" borderId="22" xfId="0" applyNumberFormat="1" applyFont="1" applyFill="1" applyBorder="1" applyAlignment="1">
      <x:alignment vertical="top" wrapText="1"/>
    </x:xf>
    <x:xf numFmtId="200" fontId="19" fillId="0" borderId="24" xfId="0" applyNumberFormat="1" applyFont="1" applyFill="1" applyBorder="1" applyAlignment="1">
      <x:alignment horizontal="center" vertical="top" wrapText="1"/>
    </x:xf>
    <x:xf numFmtId="0" fontId="20" fillId="0" borderId="25" xfId="0" applyNumberFormat="1" applyFont="1" applyFill="1" applyBorder="1" applyAlignment="1">
      <x:alignment vertical="top" wrapText="1"/>
    </x:xf>
    <x:xf numFmtId="0" fontId="19" fillId="0" borderId="25" xfId="0" applyNumberFormat="1" applyFont="1" applyFill="1" applyBorder="1" applyAlignment="1">
      <x:alignment vertical="top" wrapText="1"/>
    </x:xf>
    <x:xf numFmtId="0" fontId="20" fillId="13" borderId="25" xfId="0" applyNumberFormat="1" applyFont="1" applyFill="1" applyBorder="1" applyAlignment="1">
      <x:alignment vertical="top" wrapText="1"/>
    </x:xf>
    <x:xf numFmtId="0" fontId="22" fillId="15" borderId="25" xfId="0" applyNumberFormat="1" applyFont="1" applyFill="1" applyBorder="1" applyAlignment="1">
      <x:alignment horizontal="center" vertical="top" wrapText="1"/>
    </x:xf>
    <x:xf numFmtId="0" fontId="19" fillId="15" borderId="25" xfId="0" applyNumberFormat="1" applyFont="1" applyFill="1" applyBorder="1" applyAlignment="1">
      <x:alignment vertical="top" wrapText="1"/>
    </x:xf>
    <x:xf numFmtId="0" fontId="24" fillId="0" borderId="25" xfId="0" applyNumberFormat="1" applyFont="1" applyFill="1" applyBorder="1" applyAlignment="1">
      <x:alignment vertical="top" wrapText="1"/>
    </x:xf>
    <x:xf numFmtId="0" fontId="19" fillId="0" borderId="26" xfId="0" applyNumberFormat="1" applyFont="1" applyFill="1" applyBorder="1" applyAlignment="1">
      <x:alignment vertical="top" wrapText="1"/>
    </x:xf>
    <x:xf numFmtId="0" fontId="26" fillId="14" borderId="27" xfId="0" applyNumberFormat="1" applyFont="1" applyFill="1" applyBorder="1" applyAlignment="1">
      <x:alignment wrapText="1"/>
    </x:xf>
    <x:xf numFmtId="0" fontId="26" fillId="14" borderId="28" xfId="0" applyNumberFormat="1" applyFont="1" applyFill="1" applyBorder="1" applyAlignment="1">
      <x:alignment wrapText="1"/>
    </x:xf>
    <x:xf numFmtId="0" fontId="26" fillId="14" borderId="29" xfId="0" applyNumberFormat="1" applyFont="1" applyFill="1" applyBorder="1" applyAlignment="1">
      <x:alignment wrapText="1"/>
    </x:xf>
    <x:xf numFmtId="0" fontId="26" fillId="14" borderId="30" xfId="0" applyNumberFormat="1" applyFont="1" applyFill="1" applyBorder="1" applyAlignment="1">
      <x:alignment wrapText="1"/>
    </x:xf>
    <x:xf numFmtId="0" fontId="26" fillId="14" borderId="31" xfId="0" applyNumberFormat="1" applyFont="1" applyFill="1" applyBorder="1" applyAlignment="1">
      <x:alignment wrapText="1"/>
    </x:xf>
    <x:xf numFmtId="0" fontId="26" fillId="14" borderId="32" xfId="0" applyNumberFormat="1" applyFont="1" applyFill="1" applyBorder="1" applyAlignment="1">
      <x:alignment wrapText="1"/>
    </x:xf>
    <x:xf numFmtId="0" fontId="26" fillId="14" borderId="33" xfId="0" applyNumberFormat="1" applyFont="1" applyFill="1" applyBorder="1" applyAlignment="1">
      <x:alignment wrapText="1"/>
    </x:xf>
    <x:xf numFmtId="0" fontId="26" fillId="14" borderId="34" xfId="0" applyNumberFormat="1" applyFont="1" applyFill="1" applyBorder="1" applyAlignment="1">
      <x:alignment wrapText="1"/>
    </x:xf>
    <x:xf numFmtId="0" fontId="26" fillId="14" borderId="35" xfId="0" applyNumberFormat="1" applyFont="1" applyFill="1" applyBorder="1" applyAlignment="1">
      <x:alignment wrapText="1"/>
    </x:xf>
    <x:xf numFmtId="0" fontId="17" fillId="2" borderId="1" xfId="0" applyNumberFormat="1" applyFont="1" applyFill="1" applyBorder="1" applyAlignment="1">
      <x:alignment vertical="top" wrapText="1"/>
    </x:xf>
    <x:xf numFmtId="0" fontId="17" fillId="2" borderId="2" xfId="0" applyNumberFormat="1" applyFont="1" applyFill="1" applyBorder="1" applyAlignment="1">
      <x:alignment vertical="top" wrapText="1"/>
    </x:xf>
    <x:xf numFmtId="0" fontId="17" fillId="2" borderId="3" xfId="0" applyNumberFormat="1" applyFont="1" applyFill="1" applyBorder="1" applyAlignment="1">
      <x:alignment vertical="top" wrapText="1"/>
    </x:xf>
    <x:xf numFmtId="0" fontId="20" fillId="0" borderId="4" xfId="0" applyNumberFormat="1" applyFont="1" applyFill="1" applyBorder="1" applyAlignment="1">
      <x:alignment horizontal="center" vertical="top" wrapText="1"/>
    </x:xf>
    <x:xf numFmtId="0" fontId="27" fillId="0" borderId="5" xfId="0" applyNumberFormat="1" applyFont="1" applyFill="1" applyBorder="1" applyAlignment="1">
      <x:alignment vertical="top" wrapText="1"/>
    </x:xf>
    <x:xf numFmtId="0" fontId="20" fillId="0" borderId="7" xfId="0" applyNumberFormat="1" applyFont="1" applyFill="1" applyBorder="1" applyAlignment="1">
      <x:alignment horizontal="center" vertical="top" wrapText="1"/>
    </x:xf>
    <x:xf numFmtId="0" fontId="27" fillId="0" borderId="8" xfId="0" applyNumberFormat="1" applyFont="1" applyFill="1" applyBorder="1" applyAlignment="1">
      <x:alignment vertical="top" wrapText="1"/>
    </x:xf>
    <x:xf numFmtId="0" fontId="17" fillId="2" borderId="1" xfId="0" applyNumberFormat="1" applyFont="1" applyFill="1" applyBorder="1" applyAlignment="1">
      <x:alignment vertical="center" wrapText="1"/>
    </x:xf>
    <x:xf numFmtId="0" fontId="17" fillId="2" borderId="2" xfId="0" applyNumberFormat="1" applyFont="1" applyFill="1" applyBorder="1" applyAlignment="1">
      <x:alignment vertical="center" wrapText="1"/>
    </x:xf>
    <x:xf numFmtId="0" fontId="17" fillId="2" borderId="3" xfId="0" applyNumberFormat="1" applyFont="1" applyFill="1" applyBorder="1" applyAlignment="1">
      <x:alignment vertical="center" wrapText="1"/>
    </x:xf>
    <x:xf numFmtId="0" fontId="20" fillId="5" borderId="4" xfId="0" applyNumberFormat="1" applyFont="1" applyFill="1" applyBorder="1" applyAlignment="1">
      <x:alignment vertical="center" wrapText="1"/>
    </x:xf>
    <x:xf numFmtId="0" fontId="19" fillId="0" borderId="5" xfId="0" applyNumberFormat="1" applyFont="1" applyFill="1" applyBorder="1" applyAlignment="1">
      <x:alignment vertical="center" wrapText="1"/>
    </x:xf>
    <x:xf numFmtId="0" fontId="23" fillId="14" borderId="5" xfId="0" applyNumberFormat="1" applyFont="1" applyFill="1" applyBorder="1" applyAlignment="1">
      <x:alignment horizontal="center" vertical="center" wrapText="1"/>
    </x:xf>
    <x:xf numFmtId="0" fontId="19" fillId="0" borderId="6" xfId="0" applyNumberFormat="1" applyFont="1" applyFill="1" applyBorder="1" applyAlignment="1">
      <x:alignment vertical="center" wrapText="1"/>
    </x:xf>
    <x:xf numFmtId="0" fontId="20" fillId="5" borderId="7" xfId="0" applyNumberFormat="1" applyFont="1" applyFill="1" applyBorder="1" applyAlignment="1">
      <x:alignment vertical="center" wrapText="1"/>
    </x:xf>
    <x:xf numFmtId="0" fontId="19" fillId="0" borderId="8" xfId="0" applyNumberFormat="1" applyFont="1" applyFill="1" applyBorder="1" applyAlignment="1">
      <x:alignment vertical="center" wrapText="1"/>
    </x:xf>
    <x:xf numFmtId="0" fontId="23" fillId="14" borderId="8" xfId="0" applyNumberFormat="1" applyFont="1" applyFill="1" applyBorder="1" applyAlignment="1">
      <x:alignment horizontal="center" vertical="center" wrapText="1"/>
    </x:xf>
    <x:xf numFmtId="0" fontId="19" fillId="0" borderId="9" xfId="0" applyNumberFormat="1" applyFont="1" applyFill="1" applyBorder="1" applyAlignment="1">
      <x:alignment vertical="center" wrapText="1"/>
    </x:xf>
    <x:xf numFmtId="0" fontId="21" fillId="9"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44fd8360984c25" /><Relationship Type="http://schemas.openxmlformats.org/officeDocument/2006/relationships/theme" Target="/xl/theme/theme1.xml" Id="R2641b1e3fc304b0f" /><Relationship Type="http://schemas.openxmlformats.org/officeDocument/2006/relationships/sharedStrings" Target="/xl/sharedStrings.xml" Id="Rb30f05c0bcb54384" /><Relationship Type="http://schemas.openxmlformats.org/officeDocument/2006/relationships/worksheet" Target="/xl/worksheets/sheet1.xml" Id="R186285b78c4a4d2a" /><Relationship Type="http://schemas.openxmlformats.org/officeDocument/2006/relationships/worksheet" Target="/xl/worksheets/sheet2.xml" Id="R861e6b61f2e74d2a" /><Relationship Type="http://schemas.openxmlformats.org/officeDocument/2006/relationships/worksheet" Target="/xl/worksheets/sheet3.xml" Id="R3830729ab522491a" /><Relationship Type="http://schemas.openxmlformats.org/officeDocument/2006/relationships/worksheet" Target="/xl/worksheets/sheet4.xml" Id="R9347d949690a48c0" /><Relationship Type="http://schemas.openxmlformats.org/officeDocument/2006/relationships/worksheet" Target="/xl/worksheets/sheet5.xml" Id="Re212f1f2ca6c46d9" /></Relationships>
</file>

<file path=xl/tables/table1.xml><?xml version="1.0" encoding="utf-8"?>
<x:table xmlns:x="http://schemas.openxmlformats.org/spreadsheetml/2006/main" id="1" name="ColumnTimeline" displayName="ColumnTimeline" ref="A4:N145" headerRowCount="1" totalsRowCount="0" totalsRowShown="0">
  <x:tableColumns count="14">
    <x:tableColumn id="1" name="순번"/>
    <x:tableColumn id="2" name="컬럼명"/>
    <x:tableColumn id="3" name="공식 정의(영문)"/>
    <x:tableColumn id="4" name="생성 주체/원천"/>
    <x:tableColumn id="5" name="단계"/>
    <x:tableColumn id="6" name="생성·갱신 시점"/>
    <x:tableColumn id="7" name="값 성격"/>
    <x:tableColumn id="8" name="승인모델 T1"/>
    <x:tableColumn id="9" name="투자모델 T3"/>
    <x:tableColumn id="10" name="투자모델 권장 역할"/>
    <x:tableColumn id="11" name="성과계산/라벨 역할"/>
    <x:tableColumn id="12" name="누수·해석 위험"/>
    <x:tableColumn id="13" name="근거 ID"/>
    <x:tableColumn id="14" name="확신도·비고"/>
  </x:tableColumns>
  <x:tableStyleInfo name="TableStyleMedium2" showFirstColumn="0" showLastColumn="0" showRowStripes="1" showColumnStripes="0"/>
</x:table>
</file>

<file path=xl/tables/table2.xml><?xml version="1.0" encoding="utf-8"?>
<x:table xmlns:x="http://schemas.openxmlformats.org/spreadsheetml/2006/main" id="2" name="SourceAudit" displayName="SourceAudit" ref="A3:H13" headerRowCount="1" totalsRowCount="0" totalsRowShown="0">
  <x:tableColumns count="8">
    <x:tableColumn id="1" name="ID"/>
    <x:tableColumn id="2" name="구분"/>
    <x:tableColumn id="3" name="기관/저자"/>
    <x:tableColumn id="4" name="자료명"/>
    <x:tableColumn id="5" name="발행/기준"/>
    <x:tableColumn id="6" name="URL"/>
    <x:tableColumn id="7" name="사용한 근거"/>
    <x:tableColumn id="8" name="접근·신뢰 메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695b2213694169" /></Relationships>
</file>

<file path=xl/worksheets/_rels/sheet4.xml.rels>&#65279;<?xml version="1.0" encoding="utf-8"?><Relationships xmlns="http://schemas.openxmlformats.org/package/2006/relationships"><Relationship Type="http://schemas.openxmlformats.org/officeDocument/2006/relationships/table" Target="/xl/tables/table2.xml" Id="Rbf371fe5908b489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38" hidden="0" customWidth="1"/>
    <x:col min="4" max="4" width="14" hidden="0" customWidth="1"/>
    <x:col min="5" max="5" width="25" hidden="0" customWidth="1"/>
    <x:col min="6" max="6" width="34" hidden="0" customWidth="1"/>
    <x:col min="7" max="7" width="14" hidden="0" customWidth="1"/>
    <x:col min="8" max="8" width="14" hidden="0" customWidth="1"/>
    <x:col min="9" max="9" width="14" hidden="0" customWidth="1"/>
    <x:col min="10" max="10" width="14" hidden="0" customWidth="1"/>
  </x:cols>
  <x:sheetData>
    <x:row r="1" ht="34" customHeight="1">
      <x:c r="A1" s="227" t="str">
        <x:v>LendingClub 141개 칼럼 생성 시점과 의사결정 가용성</x:v>
      </x:c>
      <x:c r="B1" s="227" t="str">
        <x:v>LendingClub 141개 칼럼 생성 시점과 의사결정 가용성</x:v>
      </x:c>
      <x:c r="C1" s="227" t="str">
        <x:v>LendingClub 141개 칼럼 생성 시점과 의사결정 가용성</x:v>
      </x:c>
      <x:c r="D1" s="227" t="str">
        <x:v>LendingClub 141개 칼럼 생성 시점과 의사결정 가용성</x:v>
      </x:c>
      <x:c r="E1" s="227" t="str">
        <x:v>LendingClub 141개 칼럼 생성 시점과 의사결정 가용성</x:v>
      </x:c>
      <x:c r="F1" s="227" t="str">
        <x:v>LendingClub 141개 칼럼 생성 시점과 의사결정 가용성</x:v>
      </x:c>
      <x:c r="G1" s="227" t="str">
        <x:v>LendingClub 141개 칼럼 생성 시점과 의사결정 가용성</x:v>
      </x:c>
      <x:c r="H1" s="227" t="str">
        <x:v>LendingClub 141개 칼럼 생성 시점과 의사결정 가용성</x:v>
      </x:c>
      <x:c r="I1" s="227" t="str">
        <x:v>LendingClub 141개 칼럼 생성 시점과 의사결정 가용성</x:v>
      </x:c>
      <x:c r="J1" s="227" t="str">
        <x:v>LendingClub 141개 칼럼 생성 시점과 의사결정 가용성</x:v>
      </x:c>
    </x:row>
    <x:row r="2" ht="30" customHeight="1">
      <x:c r="A2" s="228" t="str">
        <x:v>기준 데이터: lending_club_2020_train.csv · 작성일 2026-07-23 · 공개 loan-level CSV는 이벤트 로그가 아니라 추출 시점 스냅샷</x:v>
      </x:c>
      <x:c r="B2" s="228"/>
      <x:c r="C2" s="228"/>
      <x:c r="D2" s="228"/>
      <x:c r="E2" s="228"/>
      <x:c r="F2" s="228"/>
      <x:c r="G2" s="228"/>
      <x:c r="H2" s="228"/>
      <x:c r="I2" s="228"/>
      <x:c r="J2" s="228"/>
    </x:row>
    <x:row r="3">
      <x:c r="A3" s="229"/>
      <x:c r="B3" s="229"/>
      <x:c r="C3" s="229"/>
      <x:c r="D3" s="229"/>
      <x:c r="E3" s="229"/>
      <x:c r="F3" s="229"/>
      <x:c r="G3" s="229"/>
      <x:c r="H3" s="229"/>
      <x:c r="I3" s="229"/>
      <x:c r="J3" s="229"/>
    </x:row>
    <x:row r="4" ht="24" customHeight="1">
      <x:c r="A4" s="230" t="str">
        <x:v>핵심 결론</x:v>
      </x:c>
      <x:c r="B4" s="230" t="str">
        <x:v>핵심 결론</x:v>
      </x:c>
      <x:c r="C4" s="230" t="str">
        <x:v>핵심 결론</x:v>
      </x:c>
      <x:c r="D4" s="230" t="str">
        <x:v>핵심 결론</x:v>
      </x:c>
      <x:c r="E4" s="230" t="str">
        <x:v>핵심 결론</x:v>
      </x:c>
      <x:c r="F4" s="230" t="str">
        <x:v>핵심 결론</x:v>
      </x:c>
      <x:c r="G4" s="230" t="str">
        <x:v>핵심 결론</x:v>
      </x:c>
      <x:c r="H4" s="230" t="str">
        <x:v>핵심 결론</x:v>
      </x:c>
      <x:c r="I4" s="230" t="str">
        <x:v>핵심 결론</x:v>
      </x:c>
      <x:c r="J4" s="230" t="str">
        <x:v>핵심 결론</x:v>
      </x:c>
    </x:row>
    <x:row r="5" ht="42" customHeight="1">
      <x:c r="A5" s="231" t="str">
        <x:v>권장 의사결정 시점</x:v>
      </x:c>
      <x:c r="B5" s="232" t="str">
        <x:v>T3: LC가 신청자를 심사해 등급·금리·조건을 붙여 marketplace에 게시한 뒤, 회사 자금으로 투자주문을 넣기 직전</x:v>
      </x:c>
      <x:c r="C5" s="232"/>
      <x:c r="D5" s="232"/>
      <x:c r="E5" s="232"/>
      <x:c r="F5" s="232"/>
      <x:c r="G5" s="232"/>
      <x:c r="H5" s="232"/>
      <x:c r="I5" s="232"/>
      <x:c r="J5" s="233"/>
    </x:row>
    <x:row r="6" ht="42" customHeight="1">
      <x:c r="A6" s="234" t="str">
        <x:v>모델의 정체성</x:v>
      </x:c>
      <x:c r="B6" s="235" t="str">
        <x:v>대출 승인모델이 아니라 ‘이미 승인·가격책정된 대출 중 어느 대출에 회사 자금을 배분할지’ 정하는 2차 투자선별 모델</x:v>
      </x:c>
      <x:c r="C6" s="235"/>
      <x:c r="D6" s="235"/>
      <x:c r="E6" s="235"/>
      <x:c r="F6" s="235"/>
      <x:c r="G6" s="235"/>
      <x:c r="H6" s="235"/>
      <x:c r="I6" s="235"/>
      <x:c r="J6" s="236"/>
    </x:row>
    <x:row r="7" ht="42" customHeight="1">
      <x:c r="A7" s="234" t="str">
        <x:v>T3에서 알려진 칼럼</x:v>
      </x:c>
      <x:c r="B7" s="235" t="str">
        <x:v>105개(식별자·정책메타 포함), 이 중 권장 후보 predictor 102개</x:v>
      </x:c>
      <x:c r="C7" s="235"/>
      <x:c r="D7" s="235"/>
      <x:c r="E7" s="235"/>
      <x:c r="F7" s="235"/>
      <x:c r="G7" s="235"/>
      <x:c r="H7" s="235"/>
      <x:c r="I7" s="235"/>
      <x:c r="J7" s="236"/>
    </x:row>
    <x:row r="8" ht="42" customHeight="1">
      <x:c r="A8" s="234" t="str">
        <x:v>조건부 칼럼</x:v>
      </x:c>
      <x:c r="B8" s="235" t="str">
        <x:v>2개: funded_amnt, funded_amnt_inv — 실제 주문 순간의 동시점 값이 있을 때만 사용 가능</x:v>
      </x:c>
      <x:c r="C8" s="235"/>
      <x:c r="D8" s="235"/>
      <x:c r="E8" s="235"/>
      <x:c r="F8" s="235"/>
      <x:c r="G8" s="235"/>
      <x:c r="H8" s="235"/>
      <x:c r="I8" s="235"/>
      <x:c r="J8" s="236"/>
    </x:row>
    <x:row r="9" ht="42" customHeight="1">
      <x:c r="A9" s="237" t="str">
        <x:v>명백한 금지</x:v>
      </x:c>
      <x:c r="B9" s="238" t="str">
        <x:v>issue_d 이후의 상환·최근 FICO·hardship·recoveries·settlement 계열은 predictor 금지. loan_status는 target/검열정보만</x:v>
      </x:c>
      <x:c r="C9" s="238"/>
      <x:c r="D9" s="238"/>
      <x:c r="E9" s="238"/>
      <x:c r="F9" s="238"/>
      <x:c r="G9" s="238"/>
      <x:c r="H9" s="238"/>
      <x:c r="I9" s="238"/>
      <x:c r="J9" s="239"/>
    </x:row>
    <x:row r="10">
      <x:c r="A10" s="229"/>
      <x:c r="B10" s="229"/>
      <x:c r="C10" s="229"/>
      <x:c r="D10" s="229"/>
      <x:c r="E10" s="229"/>
      <x:c r="F10" s="229"/>
      <x:c r="G10" s="229"/>
      <x:c r="H10" s="229"/>
      <x:c r="I10" s="229"/>
      <x:c r="J10" s="229"/>
    </x:row>
    <x:row r="11" ht="24" customHeight="1">
      <x:c r="A11" s="230" t="str">
        <x:v>시간축: 어느 단계에서 어떤 데이터가 생성되는가</x:v>
      </x:c>
      <x:c r="B11" s="230" t="str">
        <x:v>시간축: 어느 단계에서 어떤 데이터가 생성되는가</x:v>
      </x:c>
      <x:c r="C11" s="230" t="str">
        <x:v>시간축: 어느 단계에서 어떤 데이터가 생성되는가</x:v>
      </x:c>
      <x:c r="D11" s="230" t="str">
        <x:v>시간축: 어느 단계에서 어떤 데이터가 생성되는가</x:v>
      </x:c>
      <x:c r="E11" s="230" t="str">
        <x:v>시간축: 어느 단계에서 어떤 데이터가 생성되는가</x:v>
      </x:c>
      <x:c r="F11" s="230" t="str">
        <x:v>시간축: 어느 단계에서 어떤 데이터가 생성되는가</x:v>
      </x:c>
      <x:c r="G11" s="230" t="str">
        <x:v>시간축: 어느 단계에서 어떤 데이터가 생성되는가</x:v>
      </x:c>
      <x:c r="H11" s="230" t="str">
        <x:v>시간축: 어느 단계에서 어떤 데이터가 생성되는가</x:v>
      </x:c>
      <x:c r="I11" s="230" t="str">
        <x:v>시간축: 어느 단계에서 어떤 데이터가 생성되는가</x:v>
      </x:c>
      <x:c r="J11" s="230" t="str">
        <x:v>시간축: 어느 단계에서 어떤 데이터가 생성되는가</x:v>
      </x:c>
    </x:row>
    <x:row r="12">
      <x:c r="A12" s="240" t="str">
        <x:v>단계</x:v>
      </x:c>
      <x:c r="B12" s="241" t="str">
        <x:v>실제 이벤트</x:v>
      </x:c>
      <x:c r="C12" s="241" t="str">
        <x:v>대표 데이터</x:v>
      </x:c>
      <x:c r="D12" s="241" t="str">
        <x:v>141개 중 개수</x:v>
      </x:c>
      <x:c r="E12" s="242" t="str">
        <x:v>T3 투자결정과의 관계</x:v>
      </x:c>
      <x:c r="F12" s="229"/>
      <x:c r="G12" s="229"/>
      <x:c r="H12" s="229"/>
      <x:c r="I12" s="229"/>
      <x:c r="J12" s="229"/>
    </x:row>
    <x:row r="13" ht="48" customHeight="1">
      <x:c r="A13" s="243" t="str">
        <x:v>T0 신청서 입력·등록</x:v>
      </x:c>
      <x:c r="B13" s="235" t="str">
        <x:v>차주/공동차주가 금액·소득·직업·거주지·용도 등을 입력</x:v>
      </x:c>
      <x:c r="C13" s="235" t="str">
        <x:v>annual_inc, emp_title, purpose, addr_state</x:v>
      </x:c>
      <x:c r="D13" s="235" t="n">
        <x:v>10</x:v>
      </x:c>
      <x:c r="E13" s="236" t="str">
        <x:v>가용</x:v>
      </x:c>
      <x:c r="F13" s="229"/>
      <x:c r="G13" s="229"/>
      <x:c r="H13" s="229"/>
      <x:c r="I13" s="229"/>
      <x:c r="J13" s="229"/>
    </x:row>
    <x:row r="14" ht="48" customHeight="1">
      <x:c r="A14" s="244" t="str">
        <x:v>T1 신용조회·신청시점 파생</x:v>
      </x:c>
      <x:c r="B14" s="235" t="str">
        <x:v>신용평가사 보고서 수신, FICO·계정·연체·한도 지표 생성, DTI 계산</x:v>
      </x:c>
      <x:c r="C14" s="235" t="str">
        <x:v>FICO·신용계정·연체·한도·DTI·공동차주 credit</x:v>
      </x:c>
      <x:c r="D14" s="235" t="n">
        <x:v>83</x:v>
      </x:c>
      <x:c r="E14" s="236" t="str">
        <x:v>가용</x:v>
      </x:c>
      <x:c r="F14" s="229"/>
      <x:c r="G14" s="229"/>
      <x:c r="H14" s="229"/>
      <x:c r="I14" s="229"/>
      <x:c r="J14" s="229"/>
    </x:row>
    <x:row r="15" ht="48" customHeight="1">
      <x:c r="A15" s="245" t="str">
        <x:v>T2 심사·검증·가격책정</x:v>
      </x:c>
      <x:c r="B15" s="235" t="str">
        <x:v>승인 판단, 소득/고용 검증, 등급·금리·기간·상환액이 확정된 offer 생성</x:v>
      </x:c>
      <x:c r="C15" s="235" t="str">
        <x:v>loan_amnt, term, grade, sub_grade, int_rate, installment, verification</x:v>
      </x:c>
      <x:c r="D15" s="235" t="n">
        <x:v>9</x:v>
      </x:c>
      <x:c r="E15" s="236" t="str">
        <x:v>가용(승인모델에는 내생적)</x:v>
      </x:c>
      <x:c r="F15" s="229"/>
      <x:c r="G15" s="229"/>
      <x:c r="H15" s="229"/>
      <x:c r="I15" s="229"/>
      <x:c r="J15" s="229"/>
    </x:row>
    <x:row r="16" ht="48" customHeight="1">
      <x:c r="A16" s="246" t="str">
        <x:v>T3 승인대출 게시·투자주문</x:v>
      </x:c>
      <x:c r="B16" s="235" t="str">
        <x:v>loan listing/API record 생성, 투자자가 주문하고 committed amount가 누적</x:v>
      </x:c>
      <x:c r="C16" s="235" t="str">
        <x:v>id, url, initial_list_status; commitment는 누적 시작</x:v>
      </x:c>
      <x:c r="D16" s="235" t="n">
        <x:v>3</x:v>
      </x:c>
      <x:c r="E16" s="236" t="str">
        <x:v>가용; 식별자는 제외</x:v>
      </x:c>
      <x:c r="F16" s="229"/>
      <x:c r="G16" s="229"/>
      <x:c r="H16" s="229"/>
      <x:c r="I16" s="229"/>
      <x:c r="J16" s="229"/>
    </x:row>
    <x:row r="17" ht="48" customHeight="1">
      <x:c r="A17" s="247" t="str">
        <x:v>T4 자금확정·대출실행</x:v>
      </x:c>
      <x:c r="B17" s="235" t="str">
        <x:v>모집액이 확정되고 WebBank가 대출을 실행, funding month가 생성</x:v>
      </x:c>
      <x:c r="C17" s="235" t="str">
        <x:v>funded_amnt(_inv) 최종값, issue_d</x:v>
      </x:c>
      <x:c r="D17" s="235" t="n">
        <x:v>3</x:v>
      </x:c>
      <x:c r="E17" s="236" t="str">
        <x:v>결정 이후</x:v>
      </x:c>
      <x:c r="F17" s="229"/>
      <x:c r="G17" s="229"/>
      <x:c r="H17" s="229"/>
      <x:c r="I17" s="229"/>
      <x:c r="J17" s="229"/>
    </x:row>
    <x:row r="18" ht="48" customHeight="1">
      <x:c r="A18" s="248" t="str">
        <x:v>T5 상환·정기 모니터링</x:v>
      </x:c>
      <x:c r="B18" s="235" t="str">
        <x:v>월별 결제, 잔액, 누적 원금·이자·연체료, 최근 신용조회가 계속 갱신</x:v>
      </x:c>
      <x:c r="C18" s="235" t="str">
        <x:v>loan_status, balances, payments, last FICO</x:v>
      </x:c>
      <x:c r="D18" s="235" t="n">
        <x:v>15</x:v>
      </x:c>
      <x:c r="E18" s="236" t="str">
        <x:v>미래정보</x:v>
      </x:c>
      <x:c r="F18" s="229"/>
      <x:c r="G18" s="229"/>
      <x:c r="H18" s="229"/>
      <x:c r="I18" s="229"/>
      <x:c r="J18" s="229"/>
    </x:row>
    <x:row r="19" ht="48" customHeight="1">
      <x:c r="A19" s="249" t="str">
        <x:v>T6 연체·workout·회수·정산</x:v>
      </x:c>
      <x:c r="B19" s="238" t="str">
        <x:v>hardship plan, charge-off, 회수비용·회수액, debt settlement 정보 생성</x:v>
      </x:c>
      <x:c r="C19" s="238" t="str">
        <x:v>recoveries, hardship_*, debt_settlement_flag</x:v>
      </x:c>
      <x:c r="D19" s="238" t="n">
        <x:v>18</x:v>
      </x:c>
      <x:c r="E19" s="239" t="str">
        <x:v>미래정보</x:v>
      </x:c>
      <x:c r="F19" s="229"/>
      <x:c r="G19" s="229"/>
      <x:c r="H19" s="229"/>
      <x:c r="I19" s="229"/>
      <x:c r="J19" s="229"/>
    </x:row>
    <x:row r="20">
      <x:c r="A20" s="229"/>
      <x:c r="B20" s="229"/>
      <x:c r="C20" s="229"/>
      <x:c r="D20" s="229"/>
      <x:c r="E20" s="229"/>
      <x:c r="F20" s="229"/>
      <x:c r="G20" s="229"/>
      <x:c r="H20" s="229"/>
      <x:c r="I20" s="229"/>
      <x:c r="J20" s="229"/>
    </x:row>
    <x:row r="21" ht="24" customHeight="1">
      <x:c r="A21" s="230" t="str">
        <x:v>두 시나리오를 섞으면 안 된다</x:v>
      </x:c>
      <x:c r="B21" s="230" t="str">
        <x:v>두 시나리오를 섞으면 안 된다</x:v>
      </x:c>
      <x:c r="C21" s="230" t="str">
        <x:v>두 시나리오를 섞으면 안 된다</x:v>
      </x:c>
      <x:c r="D21" s="230" t="str">
        <x:v>두 시나리오를 섞으면 안 된다</x:v>
      </x:c>
      <x:c r="E21" s="230" t="str">
        <x:v>두 시나리오를 섞으면 안 된다</x:v>
      </x:c>
      <x:c r="F21" s="230" t="str">
        <x:v>두 시나리오를 섞으면 안 된다</x:v>
      </x:c>
      <x:c r="G21" s="230" t="str">
        <x:v>두 시나리오를 섞으면 안 된다</x:v>
      </x:c>
      <x:c r="H21" s="230" t="str">
        <x:v>두 시나리오를 섞으면 안 된다</x:v>
      </x:c>
      <x:c r="I21" s="230" t="str">
        <x:v>두 시나리오를 섞으면 안 된다</x:v>
      </x:c>
      <x:c r="J21" s="230" t="str">
        <x:v>두 시나리오를 섞으면 안 된다</x:v>
      </x:c>
    </x:row>
    <x:row r="22">
      <x:c r="A22" s="240" t="str">
        <x:v>구분</x:v>
      </x:c>
      <x:c r="B22" s="241" t="str">
        <x:v>의사결정 시점</x:v>
      </x:c>
      <x:c r="C22" s="241" t="str">
        <x:v>대상 모집단</x:v>
      </x:c>
      <x:c r="D22" s="241" t="str">
        <x:v>사용 가능 범위</x:v>
      </x:c>
      <x:c r="E22" s="241" t="str">
        <x:v>LC 등급·금리 사용</x:v>
      </x:c>
      <x:c r="F22" s="242" t="str">
        <x:v>해석</x:v>
      </x:c>
      <x:c r="G22" s="229"/>
      <x:c r="H22" s="229"/>
      <x:c r="I22" s="229"/>
      <x:c r="J22" s="229"/>
    </x:row>
    <x:row r="23" ht="72" customHeight="1">
      <x:c r="A23" s="250" t="str">
        <x:v>A. 승인/Granting 모델</x:v>
      </x:c>
      <x:c r="B23" s="235" t="str">
        <x:v>T1 이후, LC 등급·offer 산정 전</x:v>
      </x:c>
      <x:c r="C23" s="235" t="str">
        <x:v>모든 신청자(거절 포함이 이상적)</x:v>
      </x:c>
      <x:c r="D23" s="235" t="str">
        <x:v>93개 신청·신용지표 + loan_amnt 조건부</x:v>
      </x:c>
      <x:c r="E23" s="235" t="str">
        <x:v>불가</x:v>
      </x:c>
      <x:c r="F23" s="236" t="str">
        <x:v>LC의 1차 신용결정을 대체. 현재 accepted-only 데이터만으로는 승인정책 전체를 재현할 수 없음</x:v>
      </x:c>
      <x:c r="G23" s="229"/>
      <x:c r="H23" s="229"/>
      <x:c r="I23" s="229"/>
      <x:c r="J23" s="229"/>
    </x:row>
    <x:row r="24" ht="72" customHeight="1">
      <x:c r="A24" s="251" t="str">
        <x:v>B. 승인대출 투자선별 모델 (권장)</x:v>
      </x:c>
      <x:c r="B24" s="238" t="str">
        <x:v>T3 listing/투자주문 직전</x:v>
      </x:c>
      <x:c r="C24" s="238" t="str">
        <x:v>LC가 승인·가격책정해 게시한 대출</x:v>
      </x:c>
      <x:c r="D24" s="238" t="str">
        <x:v>102개 후보 + commitment 2개는 동시점 자료가 있을 때만</x:v>
      </x:c>
      <x:c r="E24" s="238" t="str">
        <x:v>가능</x:v>
      </x:c>
      <x:c r="F24" s="239" t="str">
        <x:v>LC 점수를 대체하는 것이 아니라 그 위에서 회사 자금의 위험대비수익을 개선</x:v>
      </x:c>
      <x:c r="G24" s="229"/>
      <x:c r="H24" s="229"/>
      <x:c r="I24" s="229"/>
      <x:c r="J24" s="229"/>
    </x:row>
    <x:row r="25">
      <x:c r="A25" s="229"/>
      <x:c r="B25" s="229"/>
      <x:c r="C25" s="229"/>
      <x:c r="D25" s="229"/>
      <x:c r="E25" s="229"/>
      <x:c r="F25" s="229"/>
      <x:c r="G25" s="229"/>
      <x:c r="H25" s="229"/>
      <x:c r="I25" s="229"/>
      <x:c r="J25" s="229"/>
    </x:row>
    <x:row r="26" ht="24" customHeight="1">
      <x:c r="A26" s="230" t="str">
        <x:v>해석상 반드시 남겨야 할 한계</x:v>
      </x:c>
      <x:c r="B26" s="230" t="str">
        <x:v>해석상 반드시 남겨야 할 한계</x:v>
      </x:c>
      <x:c r="C26" s="230" t="str">
        <x:v>해석상 반드시 남겨야 할 한계</x:v>
      </x:c>
      <x:c r="D26" s="230" t="str">
        <x:v>해석상 반드시 남겨야 할 한계</x:v>
      </x:c>
      <x:c r="E26" s="230" t="str">
        <x:v>해석상 반드시 남겨야 할 한계</x:v>
      </x:c>
      <x:c r="F26" s="230" t="str">
        <x:v>해석상 반드시 남겨야 할 한계</x:v>
      </x:c>
      <x:c r="G26" s="230" t="str">
        <x:v>해석상 반드시 남겨야 할 한계</x:v>
      </x:c>
      <x:c r="H26" s="230" t="str">
        <x:v>해석상 반드시 남겨야 할 한계</x:v>
      </x:c>
      <x:c r="I26" s="230" t="str">
        <x:v>해석상 반드시 남겨야 할 한계</x:v>
      </x:c>
      <x:c r="J26" s="230" t="str">
        <x:v>해석상 반드시 남겨야 할 한계</x:v>
      </x:c>
    </x:row>
    <x:row r="27" ht="28" customHeight="1">
      <x:c r="A27" s="252" t="str">
        <x:v>• 이 141개 CSV는 동일한 시점의 feature table이 아니다. 한 행 안에 신청 원점값, 계약조건, funding 결과, 상환 누적값, 추출일 상태가 함께 들어 있다.
• issue_d 이후 정보는 학습 label·성과 계산에는 쓸 수 있지만 T3 predictor로 넣으면 안 된다.
• 정확한 IRR/XIRR에는 모든 실제 현금흐름의 날짜가 필요하다. 이 CSV는 누적 지급액과 마지막 지급일만 제공하므로 정확한 IRR을 직접 복원할 수 없다.
• Current/연체 진행 중 대출은 최종 결과가 아직 관측되지 않은 우측검열 자료다. Fully Paid와 Charged Off만 단순 이진분류하거나 survival/시점고정 성과설계를 사용해야 한다.</x:v>
      </x:c>
      <x:c r="B27" s="253"/>
      <x:c r="C27" s="253"/>
      <x:c r="D27" s="253"/>
      <x:c r="E27" s="253"/>
      <x:c r="F27" s="253"/>
      <x:c r="G27" s="253"/>
      <x:c r="H27" s="253"/>
      <x:c r="I27" s="253"/>
      <x:c r="J27" s="254"/>
    </x:row>
    <x:row r="28" ht="28" customHeight="1">
      <x:c r="A28" s="255" t="str">
        <x:v>• 이 141개 CSV는 동일한 시점의 feature table이 아니다. 한 행 안에 신청 원점값, 계약조건, funding 결과, 상환 누적값, 추출일 상태가 함께 들어 있다.
• issue_d 이후 정보는 학습 label·성과 계산에는 쓸 수 있지만 T3 predictor로 넣으면 안 된다.
• 정확한 IRR/XIRR에는 모든 실제 현금흐름의 날짜가 필요하다. 이 CSV는 누적 지급액과 마지막 지급일만 제공하므로 정확한 IRR을 직접 복원할 수 없다.
• Current/연체 진행 중 대출은 최종 결과가 아직 관측되지 않은 우측검열 자료다. Fully Paid와 Charged Off만 단순 이진분류하거나 survival/시점고정 성과설계를 사용해야 한다.</x:v>
      </x:c>
      <x:c r="B28" s="256"/>
      <x:c r="C28" s="256"/>
      <x:c r="D28" s="256"/>
      <x:c r="E28" s="256"/>
      <x:c r="F28" s="256"/>
      <x:c r="G28" s="256"/>
      <x:c r="H28" s="256"/>
      <x:c r="I28" s="256"/>
      <x:c r="J28" s="257"/>
    </x:row>
    <x:row r="29" ht="28" customHeight="1">
      <x:c r="A29" s="255" t="str">
        <x:v>• 이 141개 CSV는 동일한 시점의 feature table이 아니다. 한 행 안에 신청 원점값, 계약조건, funding 결과, 상환 누적값, 추출일 상태가 함께 들어 있다.
• issue_d 이후 정보는 학습 label·성과 계산에는 쓸 수 있지만 T3 predictor로 넣으면 안 된다.
• 정확한 IRR/XIRR에는 모든 실제 현금흐름의 날짜가 필요하다. 이 CSV는 누적 지급액과 마지막 지급일만 제공하므로 정확한 IRR을 직접 복원할 수 없다.
• Current/연체 진행 중 대출은 최종 결과가 아직 관측되지 않은 우측검열 자료다. Fully Paid와 Charged Off만 단순 이진분류하거나 survival/시점고정 성과설계를 사용해야 한다.</x:v>
      </x:c>
      <x:c r="B29" s="256"/>
      <x:c r="C29" s="256"/>
      <x:c r="D29" s="256"/>
      <x:c r="E29" s="256"/>
      <x:c r="F29" s="256"/>
      <x:c r="G29" s="256"/>
      <x:c r="H29" s="256"/>
      <x:c r="I29" s="256"/>
      <x:c r="J29" s="257"/>
    </x:row>
    <x:row r="30" ht="28" customHeight="1">
      <x:c r="A30" s="258" t="str">
        <x:v>• 이 141개 CSV는 동일한 시점의 feature table이 아니다. 한 행 안에 신청 원점값, 계약조건, funding 결과, 상환 누적값, 추출일 상태가 함께 들어 있다.
• issue_d 이후 정보는 학습 label·성과 계산에는 쓸 수 있지만 T3 predictor로 넣으면 안 된다.
• 정확한 IRR/XIRR에는 모든 실제 현금흐름의 날짜가 필요하다. 이 CSV는 누적 지급액과 마지막 지급일만 제공하므로 정확한 IRR을 직접 복원할 수 없다.
• Current/연체 진행 중 대출은 최종 결과가 아직 관측되지 않은 우측검열 자료다. Fully Paid와 Charged Off만 단순 이진분류하거나 survival/시점고정 성과설계를 사용해야 한다.</x:v>
      </x:c>
      <x:c r="B30" s="259"/>
      <x:c r="C30" s="259"/>
      <x:c r="D30" s="259"/>
      <x:c r="E30" s="259"/>
      <x:c r="F30" s="259"/>
      <x:c r="G30" s="259"/>
      <x:c r="H30" s="259"/>
      <x:c r="I30" s="259"/>
      <x:c r="J30" s="260"/>
    </x:row>
  </x:sheetData>
  <x:mergeCells>
    <x:mergeCell ref="A1:J1"/>
    <x:mergeCell ref="A2:J2"/>
    <x:mergeCell ref="A4:J4"/>
    <x:mergeCell ref="B5:J5"/>
    <x:mergeCell ref="B6:J6"/>
    <x:mergeCell ref="B7:J7"/>
    <x:mergeCell ref="B8:J8"/>
    <x:mergeCell ref="B9:J9"/>
    <x:mergeCell ref="A11:J11"/>
    <x:mergeCell ref="A21:J21"/>
    <x:mergeCell ref="A26:J26"/>
    <x:mergeCell ref="A27:J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7" hidden="0" customWidth="1"/>
    <x:col min="3" max="3" width="50" hidden="0" customWidth="1"/>
    <x:col min="4" max="4" width="29" hidden="0" customWidth="1"/>
    <x:col min="5" max="5" width="25" hidden="0" customWidth="1"/>
    <x:col min="6" max="6" width="54" hidden="0" customWidth="1"/>
    <x:col min="7" max="7" width="25" hidden="0" customWidth="1"/>
    <x:col min="8" max="8" width="15" hidden="0" customWidth="1"/>
    <x:col min="9" max="9" width="15" hidden="0" customWidth="1"/>
    <x:col min="10" max="10" width="35" hidden="0" customWidth="1"/>
    <x:col min="11" max="11" width="40" hidden="0" customWidth="1"/>
    <x:col min="12" max="12" width="48" hidden="0" customWidth="1"/>
    <x:col min="13" max="13" width="17" hidden="0" customWidth="1"/>
    <x:col min="14" max="14" width="39" hidden="0" customWidth="1"/>
  </x:cols>
  <x:sheetData>
    <x:row r="1" ht="34" customHeight="1">
      <x:c r="A1" s="227" t="str">
        <x:v>141개 칼럼별 데이터 생성 시점·가용성·누수 위험</x:v>
      </x:c>
      <x:c r="B1" s="227" t="str">
        <x:v>141개 칼럼별 데이터 생성 시점·가용성·누수 위험</x:v>
      </x:c>
      <x:c r="C1" s="227" t="str">
        <x:v>141개 칼럼별 데이터 생성 시점·가용성·누수 위험</x:v>
      </x:c>
      <x:c r="D1" s="227" t="str">
        <x:v>141개 칼럼별 데이터 생성 시점·가용성·누수 위험</x:v>
      </x:c>
      <x:c r="E1" s="227" t="str">
        <x:v>141개 칼럼별 데이터 생성 시점·가용성·누수 위험</x:v>
      </x:c>
      <x:c r="F1" s="227" t="str">
        <x:v>141개 칼럼별 데이터 생성 시점·가용성·누수 위험</x:v>
      </x:c>
      <x:c r="G1" s="227" t="str">
        <x:v>141개 칼럼별 데이터 생성 시점·가용성·누수 위험</x:v>
      </x:c>
      <x:c r="H1" s="227" t="str">
        <x:v>141개 칼럼별 데이터 생성 시점·가용성·누수 위험</x:v>
      </x:c>
      <x:c r="I1" s="227" t="str">
        <x:v>141개 칼럼별 데이터 생성 시점·가용성·누수 위험</x:v>
      </x:c>
      <x:c r="J1" s="227" t="str">
        <x:v>141개 칼럼별 데이터 생성 시점·가용성·누수 위험</x:v>
      </x:c>
      <x:c r="K1" s="227" t="str">
        <x:v>141개 칼럼별 데이터 생성 시점·가용성·누수 위험</x:v>
      </x:c>
      <x:c r="L1" s="227" t="str">
        <x:v>141개 칼럼별 데이터 생성 시점·가용성·누수 위험</x:v>
      </x:c>
      <x:c r="M1" s="227" t="str">
        <x:v>141개 칼럼별 데이터 생성 시점·가용성·누수 위험</x:v>
      </x:c>
      <x:c r="N1" s="227" t="str">
        <x:v>141개 칼럼별 데이터 생성 시점·가용성·누수 위험</x:v>
      </x:c>
    </x:row>
    <x:row r="2" ht="30" customHeight="1">
      <x:c r="A2" s="228" t="str">
        <x:v>승인모델(T1)은 LC 등급 산정 전, 투자모델(T3)은 승인대출 listing에서 투자주문 직전으로 정의. ‘예’는 그 시점에 실제 관측 가능한 값이라는 뜻이며 권장 역할은 별도 열에서 판단한다.</x:v>
      </x:c>
      <x:c r="B2" s="228"/>
      <x:c r="C2" s="228"/>
      <x:c r="D2" s="228"/>
      <x:c r="E2" s="228"/>
      <x:c r="F2" s="228"/>
      <x:c r="G2" s="228"/>
      <x:c r="H2" s="228"/>
      <x:c r="I2" s="228"/>
      <x:c r="J2" s="228"/>
      <x:c r="K2" s="228"/>
      <x:c r="L2" s="228"/>
      <x:c r="M2" s="228"/>
      <x:c r="N2" s="228"/>
    </x:row>
    <x:row r="3">
      <x:c r="A3" s="261" t="str">
        <x:v>단계 색상</x:v>
      </x:c>
      <x:c r="B3" s="262" t="str">
        <x:v>T0 신청</x:v>
      </x:c>
      <x:c r="C3" s="263" t="str">
        <x:v>T1 신용조회</x:v>
      </x:c>
      <x:c r="D3" s="264" t="str">
        <x:v>T2 심사/가격</x:v>
      </x:c>
      <x:c r="E3" s="265" t="str">
        <x:v>T3 listing</x:v>
      </x:c>
      <x:c r="F3" s="266" t="str">
        <x:v>T4 funding</x:v>
      </x:c>
      <x:c r="G3" s="267" t="str">
        <x:v>T5 servicing</x:v>
      </x:c>
      <x:c r="H3" s="268" t="str">
        <x:v>T6 workout</x:v>
      </x:c>
      <x:c r="I3" s="261" t="str">
        <x:v>가용성</x:v>
      </x:c>
      <x:c r="J3" s="269" t="str">
        <x:v>예</x:v>
      </x:c>
      <x:c r="K3" s="264" t="str">
        <x:v>조건부</x:v>
      </x:c>
      <x:c r="L3" s="270" t="str">
        <x:v>아니오</x:v>
      </x:c>
      <x:c r="M3" s="261" t="str">
        <x:v>근거</x:v>
      </x:c>
      <x:c r="N3" s="261" t="str">
        <x:v>D1/S1/S2/S3/A1</x:v>
      </x:c>
    </x:row>
    <x:row r="4" ht="34" customHeight="1">
      <x:c r="A4" s="271" t="str">
        <x:v>순번</x:v>
      </x:c>
      <x:c r="B4" s="272" t="str">
        <x:v>컬럼명</x:v>
      </x:c>
      <x:c r="C4" s="272" t="str">
        <x:v>공식 정의(영문)</x:v>
      </x:c>
      <x:c r="D4" s="272" t="str">
        <x:v>생성 주체/원천</x:v>
      </x:c>
      <x:c r="E4" s="272" t="str">
        <x:v>단계</x:v>
      </x:c>
      <x:c r="F4" s="272" t="str">
        <x:v>생성·갱신 시점</x:v>
      </x:c>
      <x:c r="G4" s="272" t="str">
        <x:v>값 성격</x:v>
      </x:c>
      <x:c r="H4" s="272" t="str">
        <x:v>승인모델 T1</x:v>
      </x:c>
      <x:c r="I4" s="272" t="str">
        <x:v>투자모델 T3</x:v>
      </x:c>
      <x:c r="J4" s="272" t="str">
        <x:v>투자모델 권장 역할</x:v>
      </x:c>
      <x:c r="K4" s="272" t="str">
        <x:v>성과계산/라벨 역할</x:v>
      </x:c>
      <x:c r="L4" s="272" t="str">
        <x:v>누수·해석 위험</x:v>
      </x:c>
      <x:c r="M4" s="272" t="str">
        <x:v>근거 ID</x:v>
      </x:c>
      <x:c r="N4" s="273" t="str">
        <x:v>확신도·비고</x:v>
      </x:c>
    </x:row>
    <x:row r="5" ht="56" customHeight="1">
      <x:c r="A5" s="274" t="n">
        <x:v>1</x:v>
      </x:c>
      <x:c r="B5" s="275" t="str">
        <x:v>id</x:v>
      </x:c>
      <x:c r="C5" s="276" t="str">
        <x:v>A unique LC assigned ID for the loan listing.</x:v>
      </x:c>
      <x:c r="D5" s="276" t="str">
        <x:v>LendingClub marketplace/listing 시스템</x:v>
      </x:c>
      <x:c r="E5" s="277" t="str">
        <x:v>T3 승인대출 게시·투자주문</x:v>
      </x:c>
      <x:c r="F5" s="276" t="str">
        <x:v>승인 대출 listing record가 생성될 때 부여된다. 투자 시점에는 보이지만 예측정보로는 식별자에 가깝다.</x:v>
      </x:c>
      <x:c r="G5" s="276" t="str">
        <x:v>listing 메타데이터</x:v>
      </x:c>
      <x:c r="H5" s="278" t="str">
        <x:v>아니오</x:v>
      </x:c>
      <x:c r="I5" s="279" t="str">
        <x:v>예</x:v>
      </x:c>
      <x:c r="J5" s="280" t="str">
        <x:v>제외: 식별자/URL</x:v>
      </x:c>
      <x:c r="K5" s="276" t="str">
        <x:v>—</x:v>
      </x:c>
      <x:c r="L5" s="276" t="str">
        <x:v>식별자 암기·시간 proxy 위험</x:v>
      </x:c>
      <x:c r="M5" s="281" t="str">
        <x:v>D1; S1</x:v>
      </x:c>
      <x:c r="N5" s="282" t="str">
        <x:v>확정</x:v>
      </x:c>
    </x:row>
    <x:row r="6" ht="56" customHeight="1">
      <x:c r="A6" s="274" t="n">
        <x:v>2</x:v>
      </x:c>
      <x:c r="B6" s="275" t="str">
        <x:v>loan_amnt</x:v>
      </x:c>
      <x:c r="C6" s="276" t="str">
        <x:v>The listed amount of the loan applied for by the borrower. If at some point in time, the credit department reduces the loan amount, then it will be reflected in this value.</x:v>
      </x:c>
      <x:c r="D6" s="276" t="str">
        <x:v>차주 요청 + LendingClub 심사 조정</x:v>
      </x:c>
      <x:c r="E6" s="283" t="str">
        <x:v>T2 심사·검증·가격책정</x:v>
      </x:c>
      <x:c r="F6" s="276" t="str">
        <x:v>차주가 요청한 금액에서 시작하지만 credit department가 줄이면 최종 listed 값으로 덮어쓴다. 원요청액과 동일하다고 단정할 수 없다.</x:v>
      </x:c>
      <x:c r="G6" s="276" t="str">
        <x:v>listing 전 확정</x:v>
      </x:c>
      <x:c r="H6" s="284" t="str">
        <x:v>조건부</x:v>
      </x:c>
      <x:c r="I6" s="279" t="str">
        <x:v>예</x:v>
      </x:c>
      <x:c r="J6" s="285" t="str">
        <x:v>후보 Feature</x:v>
      </x:c>
      <x:c r="K6" s="276" t="str">
        <x:v>—</x:v>
      </x:c>
      <x:c r="L6" s="276" t="str">
        <x:v>승인모델에는 LC 감액 결과가 섞일 수 있음; 투자모델에는 가용</x:v>
      </x:c>
      <x:c r="M6" s="281" t="str">
        <x:v>D1; S1; A1</x:v>
      </x:c>
      <x:c r="N6" s="282" t="str">
        <x:v>확정; 원요청액이 아니라 최종 listed 값일 수 있음</x:v>
      </x:c>
    </x:row>
    <x:row r="7" ht="56" customHeight="1">
      <x:c r="A7" s="274" t="n">
        <x:v>3</x:v>
      </x:c>
      <x:c r="B7" s="275" t="str">
        <x:v>funded_amnt</x:v>
      </x:c>
      <x:c r="C7" s="276" t="str">
        <x:v>The total amount committed to that loan at that point in time.</x:v>
      </x:c>
      <x:c r="D7" s="276" t="str">
        <x:v>투자자 commitment·funding ledger</x:v>
      </x:c>
      <x:c r="E7" s="286" t="str">
        <x:v>T4 자금확정·대출실행</x:v>
      </x:c>
      <x:c r="F7" s="276" t="str">
        <x:v>T3 listing 중 commitment가 누적되고 T4 closing에서 최종 확정된다. CSV의 값은 주문 순간의 동시점 값이 아니라 최종/추출 스냅샷일 수 있다.</x:v>
      </x:c>
      <x:c r="G7" s="276" t="str">
        <x:v>T3 중 동적 → T4 확정</x:v>
      </x:c>
      <x:c r="H7" s="278" t="str">
        <x:v>아니오</x:v>
      </x:c>
      <x:c r="I7" s="284" t="str">
        <x:v>조건부</x:v>
      </x:c>
      <x:c r="J7" s="280" t="str">
        <x:v>제외: 동시점 commitment 없이는 시점 불일치</x:v>
      </x:c>
      <x:c r="K7" s="276" t="str">
        <x:v>가상 전액투자 원금/성과분모 후보</x:v>
      </x:c>
      <x:c r="L7" s="276" t="str">
        <x:v>최종 CSV값을 쓰면 투자주문 이후 정보가 섞이는 시점 누수</x:v>
      </x:c>
      <x:c r="M7" s="281" t="str">
        <x:v>D1; S2</x:v>
      </x:c>
      <x:c r="N7" s="282" t="str">
        <x:v>정의는 확정; CSV가 어느 주문시점 값을 담는지는 불명</x:v>
      </x:c>
    </x:row>
    <x:row r="8" ht="56" customHeight="1">
      <x:c r="A8" s="274" t="n">
        <x:v>4</x:v>
      </x:c>
      <x:c r="B8" s="275" t="str">
        <x:v>funded_amnt_inv</x:v>
      </x:c>
      <x:c r="C8" s="276" t="str">
        <x:v>The total amount committed by investors for that loan at that point in time.</x:v>
      </x:c>
      <x:c r="D8" s="276" t="str">
        <x:v>투자자 commitment·funding ledger</x:v>
      </x:c>
      <x:c r="E8" s="286" t="str">
        <x:v>T4 자금확정·대출실행</x:v>
      </x:c>
      <x:c r="F8" s="276" t="str">
        <x:v>T3 listing 중 commitment가 누적되고 T4 closing에서 최종 확정된다. CSV의 값은 주문 순간의 동시점 값이 아니라 최종/추출 스냅샷일 수 있다.</x:v>
      </x:c>
      <x:c r="G8" s="276" t="str">
        <x:v>T3 중 동적 → T4 확정</x:v>
      </x:c>
      <x:c r="H8" s="278" t="str">
        <x:v>아니오</x:v>
      </x:c>
      <x:c r="I8" s="284" t="str">
        <x:v>조건부</x:v>
      </x:c>
      <x:c r="J8" s="280" t="str">
        <x:v>제외: 동시점 commitment 없이는 시점 불일치</x:v>
      </x:c>
      <x:c r="K8" s="276" t="str">
        <x:v>실제 투자자 지분 원금/성과분모 후보</x:v>
      </x:c>
      <x:c r="L8" s="276" t="str">
        <x:v>최종 CSV값을 쓰면 투자주문 이후 정보가 섞이는 시점 누수</x:v>
      </x:c>
      <x:c r="M8" s="281" t="str">
        <x:v>D1; S2</x:v>
      </x:c>
      <x:c r="N8" s="282" t="str">
        <x:v>정의는 확정; CSV가 어느 주문시점 값을 담는지는 불명</x:v>
      </x:c>
    </x:row>
    <x:row r="9" ht="56" customHeight="1">
      <x:c r="A9" s="274" t="n">
        <x:v>5</x:v>
      </x:c>
      <x:c r="B9" s="275" t="str">
        <x:v>term</x:v>
      </x:c>
      <x:c r="C9" s="276" t="str">
        <x:v>The number of payments on the loan. Values are in months and can be either 36 or 60.</x:v>
      </x:c>
      <x:c r="D9" s="276" t="str">
        <x:v>LendingClub offer + 차주 선택</x:v>
      </x:c>
      <x:c r="E9" s="283" t="str">
        <x:v>T2 심사·검증·가격책정</x:v>
      </x:c>
      <x:c r="F9" s="276" t="str">
        <x:v>1차 승인 후 제시된 offer 중 차주가 선택한 36/60개월 조건으로 생성된다.</x:v>
      </x:c>
      <x:c r="G9" s="276" t="str">
        <x:v>listing 전 확정</x:v>
      </x:c>
      <x:c r="H9" s="278" t="str">
        <x:v>아니오</x:v>
      </x:c>
      <x:c r="I9" s="279" t="str">
        <x:v>예</x:v>
      </x:c>
      <x:c r="J9" s="285" t="str">
        <x:v>후보 Feature</x:v>
      </x:c>
      <x:c r="K9" s="276" t="str">
        <x:v>—</x:v>
      </x:c>
      <x:c r="L9" s="276" t="str">
        <x:v>투자모델에는 누수 아님; 승인모델에는 LC 의사결정 결과/내생변수</x:v>
      </x:c>
      <x:c r="M9" s="281" t="str">
        <x:v>D1; S1; A1</x:v>
      </x:c>
      <x:c r="N9" s="282" t="str">
        <x:v>확정</x:v>
      </x:c>
    </x:row>
    <x:row r="10" ht="56" customHeight="1">
      <x:c r="A10" s="274" t="n">
        <x:v>6</x:v>
      </x:c>
      <x:c r="B10" s="275" t="str">
        <x:v>int_rate</x:v>
      </x:c>
      <x:c r="C10" s="276" t="str">
        <x:v>Interest Rate on the loan</x:v>
      </x:c>
      <x:c r="D10" s="276" t="str">
        <x:v>LendingClub 신용결정·가격모형</x:v>
      </x:c>
      <x:c r="E10" s="283" t="str">
        <x:v>T2 심사·검증·가격책정</x:v>
      </x:c>
      <x:c r="F10" s="276" t="str">
        <x:v>LC가 신청·신용정보를 평가해 등급/금리를 산출한 뒤 listing 전에 확정한다.</x:v>
      </x:c>
      <x:c r="G10" s="276" t="str">
        <x:v>listing 전 확정</x:v>
      </x:c>
      <x:c r="H10" s="278" t="str">
        <x:v>아니오</x:v>
      </x:c>
      <x:c r="I10" s="279" t="str">
        <x:v>예</x:v>
      </x:c>
      <x:c r="J10" s="285" t="str">
        <x:v>후보 Feature: LC 위험·가격 신호</x:v>
      </x:c>
      <x:c r="K10" s="276" t="str">
        <x:v>—</x:v>
      </x:c>
      <x:c r="L10" s="276" t="str">
        <x:v>투자모델에는 누수 아님; 승인모델에는 LC 의사결정 결과/내생변수</x:v>
      </x:c>
      <x:c r="M10" s="281" t="str">
        <x:v>D1; S1; A1</x:v>
      </x:c>
      <x:c r="N10" s="282" t="str">
        <x:v>확정</x:v>
      </x:c>
    </x:row>
    <x:row r="11" ht="56" customHeight="1">
      <x:c r="A11" s="274" t="n">
        <x:v>7</x:v>
      </x:c>
      <x:c r="B11" s="275" t="str">
        <x:v>installment</x:v>
      </x:c>
      <x:c r="C11" s="276" t="str">
        <x:v>The monthly payment owed by the borrower if the loan originates.</x:v>
      </x:c>
      <x:c r="D11" s="276" t="str">
        <x:v>LendingClub 계약 상환액 계산</x:v>
      </x:c>
      <x:c r="E11" s="283" t="str">
        <x:v>T2 심사·검증·가격책정</x:v>
      </x:c>
      <x:c r="F11" s="276" t="str">
        <x:v>대출이 실행된다는 가정하에 금액·기간·금리로 계산된 계약상 월 상환액이다.</x:v>
      </x:c>
      <x:c r="G11" s="276" t="str">
        <x:v>listing 전 확정</x:v>
      </x:c>
      <x:c r="H11" s="278" t="str">
        <x:v>아니오</x:v>
      </x:c>
      <x:c r="I11" s="279" t="str">
        <x:v>예</x:v>
      </x:c>
      <x:c r="J11" s="285" t="str">
        <x:v>후보 Feature</x:v>
      </x:c>
      <x:c r="K11" s="276" t="str">
        <x:v>—</x:v>
      </x:c>
      <x:c r="L11" s="276" t="str">
        <x:v>투자모델에는 누수 아님; 승인모델에는 LC 의사결정 결과/내생변수</x:v>
      </x:c>
      <x:c r="M11" s="281" t="str">
        <x:v>D1; S1; A1</x:v>
      </x:c>
      <x:c r="N11" s="282" t="str">
        <x:v>확정</x:v>
      </x:c>
    </x:row>
    <x:row r="12" ht="56" customHeight="1">
      <x:c r="A12" s="274" t="n">
        <x:v>8</x:v>
      </x:c>
      <x:c r="B12" s="275" t="str">
        <x:v>grade</x:v>
      </x:c>
      <x:c r="C12" s="276" t="str">
        <x:v>LC assigned loan grade</x:v>
      </x:c>
      <x:c r="D12" s="276" t="str">
        <x:v>LendingClub 신용결정·가격모형</x:v>
      </x:c>
      <x:c r="E12" s="283" t="str">
        <x:v>T2 심사·검증·가격책정</x:v>
      </x:c>
      <x:c r="F12" s="276" t="str">
        <x:v>LC가 신청·신용정보를 평가해 등급/금리를 산출한 뒤 listing 전에 확정한다.</x:v>
      </x:c>
      <x:c r="G12" s="276" t="str">
        <x:v>listing 전 확정</x:v>
      </x:c>
      <x:c r="H12" s="278" t="str">
        <x:v>아니오</x:v>
      </x:c>
      <x:c r="I12" s="279" t="str">
        <x:v>예</x:v>
      </x:c>
      <x:c r="J12" s="285" t="str">
        <x:v>후보 Feature: LC 위험·가격 신호</x:v>
      </x:c>
      <x:c r="K12" s="276" t="str">
        <x:v>—</x:v>
      </x:c>
      <x:c r="L12" s="276" t="str">
        <x:v>투자모델에는 누수 아님; 승인모델에는 LC 의사결정 결과/내생변수</x:v>
      </x:c>
      <x:c r="M12" s="281" t="str">
        <x:v>D1; S1; A1</x:v>
      </x:c>
      <x:c r="N12" s="282" t="str">
        <x:v>확정</x:v>
      </x:c>
    </x:row>
    <x:row r="13" ht="56" customHeight="1">
      <x:c r="A13" s="274" t="n">
        <x:v>9</x:v>
      </x:c>
      <x:c r="B13" s="275" t="str">
        <x:v>sub_grade</x:v>
      </x:c>
      <x:c r="C13" s="276" t="str">
        <x:v>LC assigned loan subgrade</x:v>
      </x:c>
      <x:c r="D13" s="276" t="str">
        <x:v>LendingClub 신용결정·가격모형</x:v>
      </x:c>
      <x:c r="E13" s="283" t="str">
        <x:v>T2 심사·검증·가격책정</x:v>
      </x:c>
      <x:c r="F13" s="276" t="str">
        <x:v>LC가 신청·신용정보를 평가해 등급/금리를 산출한 뒤 listing 전에 확정한다.</x:v>
      </x:c>
      <x:c r="G13" s="276" t="str">
        <x:v>listing 전 확정</x:v>
      </x:c>
      <x:c r="H13" s="278" t="str">
        <x:v>아니오</x:v>
      </x:c>
      <x:c r="I13" s="279" t="str">
        <x:v>예</x:v>
      </x:c>
      <x:c r="J13" s="285" t="str">
        <x:v>후보 Feature: LC 위험·가격 신호</x:v>
      </x:c>
      <x:c r="K13" s="276" t="str">
        <x:v>—</x:v>
      </x:c>
      <x:c r="L13" s="276" t="str">
        <x:v>투자모델에는 누수 아님; 승인모델에는 LC 의사결정 결과/내생변수</x:v>
      </x:c>
      <x:c r="M13" s="281" t="str">
        <x:v>D1; S1; A1</x:v>
      </x:c>
      <x:c r="N13" s="282" t="str">
        <x:v>확정</x:v>
      </x:c>
    </x:row>
    <x:row r="14" ht="56" customHeight="1">
      <x:c r="A14" s="274" t="n">
        <x:v>10</x:v>
      </x:c>
      <x:c r="B14" s="275" t="str">
        <x:v>emp_title</x:v>
      </x:c>
      <x:c r="C14" s="276" t="str">
        <x:v>The job title supplied by the Borrower when applying for the loan.*</x:v>
      </x:c>
      <x:c r="D14" s="276" t="str">
        <x:v>차주 자기보고</x:v>
      </x:c>
      <x:c r="E14" s="287" t="str">
        <x:v>T0 신청서 입력·등록</x:v>
      </x:c>
      <x:c r="F14" s="276" t="str">
        <x:v>온라인 신청·등록 때 입력. listing 시점까지 전달되지만 일부 항목은 LC가 검증하지 않는다.</x:v>
      </x:c>
      <x:c r="G14" s="276" t="str">
        <x:v>원점 고정(신청/실행 시점)</x:v>
      </x:c>
      <x:c r="H14" s="279" t="str">
        <x:v>예</x:v>
      </x:c>
      <x:c r="I14" s="279" t="str">
        <x:v>예</x:v>
      </x:c>
      <x:c r="J14" s="285" t="str">
        <x:v>후보 Feature: 공정성·일반화 검토</x:v>
      </x:c>
      <x:c r="K14" s="276" t="str">
        <x:v>—</x:v>
      </x:c>
      <x:c r="L14" s="276" t="str">
        <x:v>시간누수 없음; 공정대출/지역·직업 proxy 및 자기보고 신뢰성 검토</x:v>
      </x:c>
      <x:c r="M14" s="281" t="str">
        <x:v>D1; S1; A1</x:v>
      </x:c>
      <x:c r="N14" s="282" t="str">
        <x:v>확정</x:v>
      </x:c>
    </x:row>
    <x:row r="15" ht="56" customHeight="1">
      <x:c r="A15" s="274" t="n">
        <x:v>11</x:v>
      </x:c>
      <x:c r="B15" s="275" t="str">
        <x:v>emp_length</x:v>
      </x:c>
      <x:c r="C15" s="276" t="str">
        <x:v>Employment length in years. Possible values are between 0 and 10 where 0 means less than one year and 10 means ten or more years.</x:v>
      </x:c>
      <x:c r="D15" s="276" t="str">
        <x:v>차주 자기보고</x:v>
      </x:c>
      <x:c r="E15" s="287" t="str">
        <x:v>T0 신청서 입력·등록</x:v>
      </x:c>
      <x:c r="F15" s="276" t="str">
        <x:v>온라인 신청·등록 때 입력. listing 시점까지 전달되지만 일부 항목은 LC가 검증하지 않는다.</x:v>
      </x:c>
      <x:c r="G15" s="276" t="str">
        <x:v>원점 고정(신청/실행 시점)</x:v>
      </x:c>
      <x:c r="H15" s="279" t="str">
        <x:v>예</x:v>
      </x:c>
      <x:c r="I15" s="279" t="str">
        <x:v>예</x:v>
      </x:c>
      <x:c r="J15" s="285" t="str">
        <x:v>후보 Feature</x:v>
      </x:c>
      <x:c r="K15" s="276" t="str">
        <x:v>—</x:v>
      </x:c>
      <x:c r="L15" s="276" t="str">
        <x:v>시간누수 없음; 자기보고·검증범위 한계</x:v>
      </x:c>
      <x:c r="M15" s="281" t="str">
        <x:v>D1; S1; A1</x:v>
      </x:c>
      <x:c r="N15" s="282" t="str">
        <x:v>확정</x:v>
      </x:c>
    </x:row>
    <x:row r="16" ht="56" customHeight="1">
      <x:c r="A16" s="274" t="n">
        <x:v>12</x:v>
      </x:c>
      <x:c r="B16" s="275" t="str">
        <x:v>home_ownership</x:v>
      </x:c>
      <x:c r="C16" s="276" t="str">
        <x:v>The home ownership status provided by the borrower during registration or obtained from the credit report. Our values are: RENT, OWN, MORTGAGE, OTHER</x:v>
      </x:c>
      <x:c r="D16" s="276" t="str">
        <x:v>차주 자기보고 또는 신용보고서</x:v>
      </x:c>
      <x:c r="E16" s="287" t="str">
        <x:v>T0 신청서 입력·등록</x:v>
      </x:c>
      <x:c r="F16" s="276" t="str">
        <x:v>온라인 신청·등록 때 입력. listing 시점까지 전달되지만 일부 항목은 LC가 검증하지 않는다.</x:v>
      </x:c>
      <x:c r="G16" s="276" t="str">
        <x:v>원점 고정(신청/실행 시점)</x:v>
      </x:c>
      <x:c r="H16" s="279" t="str">
        <x:v>예</x:v>
      </x:c>
      <x:c r="I16" s="279" t="str">
        <x:v>예</x:v>
      </x:c>
      <x:c r="J16" s="285" t="str">
        <x:v>후보 Feature: 공정성·일반화 검토</x:v>
      </x:c>
      <x:c r="K16" s="276" t="str">
        <x:v>—</x:v>
      </x:c>
      <x:c r="L16" s="276" t="str">
        <x:v>시간누수 없음; 공정대출/지역·직업 proxy 및 자기보고 신뢰성 검토</x:v>
      </x:c>
      <x:c r="M16" s="281" t="str">
        <x:v>D1; S1; A1</x:v>
      </x:c>
      <x:c r="N16" s="282" t="str">
        <x:v>확정</x:v>
      </x:c>
    </x:row>
    <x:row r="17" ht="56" customHeight="1">
      <x:c r="A17" s="274" t="n">
        <x:v>13</x:v>
      </x:c>
      <x:c r="B17" s="275" t="str">
        <x:v>annual_inc</x:v>
      </x:c>
      <x:c r="C17" s="276" t="str">
        <x:v>The self-reported annual income provided by the borrower during registration.</x:v>
      </x:c>
      <x:c r="D17" s="276" t="str">
        <x:v>차주 자기보고</x:v>
      </x:c>
      <x:c r="E17" s="287" t="str">
        <x:v>T0 신청서 입력·등록</x:v>
      </x:c>
      <x:c r="F17" s="276" t="str">
        <x:v>온라인 신청·등록 때 입력. listing 시점까지 전달되지만 일부 항목은 LC가 검증하지 않는다.</x:v>
      </x:c>
      <x:c r="G17" s="276" t="str">
        <x:v>원점 고정(신청/실행 시점)</x:v>
      </x:c>
      <x:c r="H17" s="279" t="str">
        <x:v>예</x:v>
      </x:c>
      <x:c r="I17" s="279" t="str">
        <x:v>예</x:v>
      </x:c>
      <x:c r="J17" s="285" t="str">
        <x:v>후보 Feature</x:v>
      </x:c>
      <x:c r="K17" s="276" t="str">
        <x:v>—</x:v>
      </x:c>
      <x:c r="L17" s="276" t="str">
        <x:v>시간누수 없음; 자기보고·검증범위 한계</x:v>
      </x:c>
      <x:c r="M17" s="281" t="str">
        <x:v>D1; S1; A1</x:v>
      </x:c>
      <x:c r="N17" s="282" t="str">
        <x:v>확정</x:v>
      </x:c>
    </x:row>
    <x:row r="18" ht="56" customHeight="1">
      <x:c r="A18" s="274" t="n">
        <x:v>14</x:v>
      </x:c>
      <x:c r="B18" s="275" t="str">
        <x:v>verification_status</x:v>
      </x:c>
      <x:c r="C18" s="276" t="str">
        <x:v>Indicates if income was verified by LC, not verified, or if the income source was verified</x:v>
      </x:c>
      <x:c r="D18" s="276" t="str">
        <x:v>LendingClub 검증 프로세스</x:v>
      </x:c>
      <x:c r="E18" s="283" t="str">
        <x:v>T2 심사·검증·가격책정</x:v>
      </x:c>
      <x:c r="F18" s="276" t="str">
        <x:v>소득/소득원 검증 과정의 상태. listing에서 투자자에게 표시되지만 strict 신청초기 모델에는 아직 없다.</x:v>
      </x:c>
      <x:c r="G18" s="276" t="str">
        <x:v>listing 전 확정</x:v>
      </x:c>
      <x:c r="H18" s="278" t="str">
        <x:v>아니오</x:v>
      </x:c>
      <x:c r="I18" s="279" t="str">
        <x:v>예</x:v>
      </x:c>
      <x:c r="J18" s="285" t="str">
        <x:v>후보 Feature</x:v>
      </x:c>
      <x:c r="K18" s="276" t="str">
        <x:v>—</x:v>
      </x:c>
      <x:c r="L18" s="276" t="str">
        <x:v>투자모델에는 가용; 신청초기 승인모델에는 사후 처리 결과</x:v>
      </x:c>
      <x:c r="M18" s="281" t="str">
        <x:v>D1; S1; A1</x:v>
      </x:c>
      <x:c r="N18" s="282" t="str">
        <x:v>확정</x:v>
      </x:c>
    </x:row>
    <x:row r="19" ht="56" customHeight="1">
      <x:c r="A19" s="274" t="n">
        <x:v>15</x:v>
      </x:c>
      <x:c r="B19" s="275" t="str">
        <x:v>issue_d</x:v>
      </x:c>
      <x:c r="C19" s="276" t="str">
        <x:v>The month which the loan was funded</x:v>
      </x:c>
      <x:c r="D19" s="276" t="str">
        <x:v>WebBank/LendingClub 실행 기록</x:v>
      </x:c>
      <x:c r="E19" s="286" t="str">
        <x:v>T4 자금확정·대출실행</x:v>
      </x:c>
      <x:c r="F19" s="276" t="str">
        <x:v>투자주문·closing 뒤 대출이 funded된 월. 모델 입력이 아니라 코호트/시간분할 기준으로만 사용한다.</x:v>
      </x:c>
      <x:c r="G19" s="276" t="str">
        <x:v>실행 시 고정</x:v>
      </x:c>
      <x:c r="H19" s="278" t="str">
        <x:v>아니오</x:v>
      </x:c>
      <x:c r="I19" s="278" t="str">
        <x:v>아니오</x:v>
      </x:c>
      <x:c r="J19" s="288" t="str">
        <x:v>시간분할·코호트 전용</x:v>
      </x:c>
      <x:c r="K19" s="276" t="str">
        <x:v>투자 시작월·시간분할</x:v>
      </x:c>
      <x:c r="L19" s="276" t="str">
        <x:v>결정 이후 생성; predictor로 쓰지 말고 시간분할만</x:v>
      </x:c>
      <x:c r="M19" s="281" t="str">
        <x:v>D1; S2</x:v>
      </x:c>
      <x:c r="N19" s="282" t="str">
        <x:v>확정</x:v>
      </x:c>
    </x:row>
    <x:row r="20" ht="56" customHeight="1">
      <x:c r="A20" s="274" t="n">
        <x:v>16</x:v>
      </x:c>
      <x:c r="B20" s="275" t="str">
        <x:v>loan_status</x:v>
      </x:c>
      <x:c r="C20" s="276" t="str">
        <x:v>Current status of the loan</x:v>
      </x:c>
      <x:c r="D20" s="276" t="str">
        <x:v>LendingClub servicing ledger</x:v>
      </x:c>
      <x:c r="E20" s="289" t="str">
        <x:v>T5 상환·정기 모니터링</x:v>
      </x:c>
      <x:c r="F20" s="276" t="str">
        <x:v>대출 실행 직후 Current로 시작해 상환·연체·완납·charge-off에 따라 갱신. 추출일 현재 상태이므로 목표/검열정보다.</x:v>
      </x:c>
      <x:c r="G20" s="276" t="str">
        <x:v>사후 동적 스냅샷/누적</x:v>
      </x:c>
      <x:c r="H20" s="278" t="str">
        <x:v>아니오</x:v>
      </x:c>
      <x:c r="I20" s="278" t="str">
        <x:v>아니오</x:v>
      </x:c>
      <x:c r="J20" s="288" t="str">
        <x:v>목표/검열 상태 전용</x:v>
      </x:c>
      <x:c r="K20" s="276" t="str">
        <x:v>완납/부도 타깃 및 미성숙(Current) 검열상태</x:v>
      </x:c>
      <x:c r="L20" s="276" t="str">
        <x:v>label 자체. Current/연체 진행중 대출은 우측검열 문제</x:v>
      </x:c>
      <x:c r="M20" s="281" t="str">
        <x:v>D1; S3</x:v>
      </x:c>
      <x:c r="N20" s="282" t="str">
        <x:v>확정</x:v>
      </x:c>
    </x:row>
    <x:row r="21" ht="56" customHeight="1">
      <x:c r="A21" s="274" t="n">
        <x:v>17</x:v>
      </x:c>
      <x:c r="B21" s="275" t="str">
        <x:v>pymnt_plan</x:v>
      </x:c>
      <x:c r="C21" s="276" t="str">
        <x:v>Indicates if a payment plan has been put in place for the loan</x:v>
      </x:c>
      <x:c r="D21" s="276" t="str">
        <x:v>LendingClub servicing ledger</x:v>
      </x:c>
      <x:c r="E21" s="289" t="str">
        <x:v>T5 상환·정기 모니터링</x:v>
      </x:c>
      <x:c r="F21" s="276" t="str">
        <x:v>대출 실행 후 별도 payment plan이 설정되면 바뀌는 workout/servicing 상태다.</x:v>
      </x:c>
      <x:c r="G21" s="276" t="str">
        <x:v>사후 동적 스냅샷/누적</x:v>
      </x:c>
      <x:c r="H21" s="278" t="str">
        <x:v>아니오</x:v>
      </x:c>
      <x:c r="I21" s="278" t="str">
        <x:v>아니오</x:v>
      </x:c>
      <x:c r="J21" s="280" t="str">
        <x:v>제외: 사후정보</x:v>
      </x:c>
      <x:c r="K21" s="276" t="str">
        <x:v>workout/상환조정 결과</x:v>
      </x:c>
      <x:c r="L21" s="276" t="str">
        <x:v>명백한 사후정보; predictor 사용 시 심각한 target leakage</x:v>
      </x:c>
      <x:c r="M21" s="281" t="str">
        <x:v>D1; S3</x:v>
      </x:c>
      <x:c r="N21" s="282" t="str">
        <x:v>확정</x:v>
      </x:c>
    </x:row>
    <x:row r="22" ht="56" customHeight="1">
      <x:c r="A22" s="274" t="n">
        <x:v>18</x:v>
      </x:c>
      <x:c r="B22" s="275" t="str">
        <x:v>url</x:v>
      </x:c>
      <x:c r="C22" s="276" t="str">
        <x:v>URL for the LC page with listing data.</x:v>
      </x:c>
      <x:c r="D22" s="276" t="str">
        <x:v>LendingClub marketplace/listing 시스템</x:v>
      </x:c>
      <x:c r="E22" s="277" t="str">
        <x:v>T3 승인대출 게시·투자주문</x:v>
      </x:c>
      <x:c r="F22" s="276" t="str">
        <x:v>승인 대출 listing record가 생성될 때 부여된다. 투자 시점에는 보이지만 예측정보로는 식별자에 가깝다.</x:v>
      </x:c>
      <x:c r="G22" s="276" t="str">
        <x:v>listing 메타데이터</x:v>
      </x:c>
      <x:c r="H22" s="278" t="str">
        <x:v>아니오</x:v>
      </x:c>
      <x:c r="I22" s="279" t="str">
        <x:v>예</x:v>
      </x:c>
      <x:c r="J22" s="280" t="str">
        <x:v>제외: 식별자/URL</x:v>
      </x:c>
      <x:c r="K22" s="276" t="str">
        <x:v>—</x:v>
      </x:c>
      <x:c r="L22" s="276" t="str">
        <x:v>식별자 암기·시간 proxy 위험</x:v>
      </x:c>
      <x:c r="M22" s="281" t="str">
        <x:v>D1; S1</x:v>
      </x:c>
      <x:c r="N22" s="282" t="str">
        <x:v>확정</x:v>
      </x:c>
    </x:row>
    <x:row r="23" ht="56" customHeight="1">
      <x:c r="A23" s="274" t="n">
        <x:v>19</x:v>
      </x:c>
      <x:c r="B23" s="275" t="str">
        <x:v>purpose</x:v>
      </x:c>
      <x:c r="C23" s="276" t="str">
        <x:v>A category provided by the borrower for the loan request.</x:v>
      </x:c>
      <x:c r="D23" s="276" t="str">
        <x:v>차주 자기보고</x:v>
      </x:c>
      <x:c r="E23" s="287" t="str">
        <x:v>T0 신청서 입력·등록</x:v>
      </x:c>
      <x:c r="F23" s="276" t="str">
        <x:v>온라인 신청·등록 때 입력. listing 시점까지 전달되지만 일부 항목은 LC가 검증하지 않는다.</x:v>
      </x:c>
      <x:c r="G23" s="276" t="str">
        <x:v>원점 고정(신청/실행 시점)</x:v>
      </x:c>
      <x:c r="H23" s="279" t="str">
        <x:v>예</x:v>
      </x:c>
      <x:c r="I23" s="279" t="str">
        <x:v>예</x:v>
      </x:c>
      <x:c r="J23" s="285" t="str">
        <x:v>후보 Feature: 공정성·일반화 검토</x:v>
      </x:c>
      <x:c r="K23" s="276" t="str">
        <x:v>—</x:v>
      </x:c>
      <x:c r="L23" s="276" t="str">
        <x:v>시간누수 없음; 공정대출/지역·직업 proxy 및 자기보고 신뢰성 검토</x:v>
      </x:c>
      <x:c r="M23" s="281" t="str">
        <x:v>D1; S1; A1</x:v>
      </x:c>
      <x:c r="N23" s="282" t="str">
        <x:v>확정</x:v>
      </x:c>
    </x:row>
    <x:row r="24" ht="56" customHeight="1">
      <x:c r="A24" s="274" t="n">
        <x:v>20</x:v>
      </x:c>
      <x:c r="B24" s="275" t="str">
        <x:v>title</x:v>
      </x:c>
      <x:c r="C24" s="276" t="str">
        <x:v>The loan title provided by the borrower</x:v>
      </x:c>
      <x:c r="D24" s="276" t="str">
        <x:v>차주 자기보고</x:v>
      </x:c>
      <x:c r="E24" s="287" t="str">
        <x:v>T0 신청서 입력·등록</x:v>
      </x:c>
      <x:c r="F24" s="276" t="str">
        <x:v>온라인 신청·등록 때 입력. listing 시점까지 전달되지만 일부 항목은 LC가 검증하지 않는다.</x:v>
      </x:c>
      <x:c r="G24" s="276" t="str">
        <x:v>원점 고정(신청/실행 시점)</x:v>
      </x:c>
      <x:c r="H24" s="279" t="str">
        <x:v>예</x:v>
      </x:c>
      <x:c r="I24" s="279" t="str">
        <x:v>예</x:v>
      </x:c>
      <x:c r="J24" s="285" t="str">
        <x:v>후보 Feature: 공정성·일반화 검토</x:v>
      </x:c>
      <x:c r="K24" s="276" t="str">
        <x:v>—</x:v>
      </x:c>
      <x:c r="L24" s="276" t="str">
        <x:v>시간누수 없음; 공정대출/지역·직업 proxy 및 자기보고 신뢰성 검토</x:v>
      </x:c>
      <x:c r="M24" s="281" t="str">
        <x:v>D1; S1; A1</x:v>
      </x:c>
      <x:c r="N24" s="282" t="str">
        <x:v>확정</x:v>
      </x:c>
    </x:row>
    <x:row r="25" ht="56" customHeight="1">
      <x:c r="A25" s="274" t="n">
        <x:v>21</x:v>
      </x:c>
      <x:c r="B25" s="275" t="str">
        <x:v>zip_code</x:v>
      </x:c>
      <x:c r="C25" s="276" t="str">
        <x:v>The first 3 numbers of the zip code provided by the borrower in the loan application.</x:v>
      </x:c>
      <x:c r="D25" s="276" t="str">
        <x:v>차주 자기보고</x:v>
      </x:c>
      <x:c r="E25" s="287" t="str">
        <x:v>T0 신청서 입력·등록</x:v>
      </x:c>
      <x:c r="F25" s="276" t="str">
        <x:v>온라인 신청·등록 때 입력. listing 시점까지 전달되지만 일부 항목은 LC가 검증하지 않는다.</x:v>
      </x:c>
      <x:c r="G25" s="276" t="str">
        <x:v>원점 고정(신청/실행 시점)</x:v>
      </x:c>
      <x:c r="H25" s="279" t="str">
        <x:v>예</x:v>
      </x:c>
      <x:c r="I25" s="279" t="str">
        <x:v>예</x:v>
      </x:c>
      <x:c r="J25" s="285" t="str">
        <x:v>후보 Feature: 공정성·일반화 검토</x:v>
      </x:c>
      <x:c r="K25" s="276" t="str">
        <x:v>—</x:v>
      </x:c>
      <x:c r="L25" s="276" t="str">
        <x:v>시간누수 없음; 공정대출/지역·직업 proxy 및 자기보고 신뢰성 검토</x:v>
      </x:c>
      <x:c r="M25" s="281" t="str">
        <x:v>D1; S1; A1</x:v>
      </x:c>
      <x:c r="N25" s="282" t="str">
        <x:v>확정</x:v>
      </x:c>
    </x:row>
    <x:row r="26" ht="56" customHeight="1">
      <x:c r="A26" s="274" t="n">
        <x:v>22</x:v>
      </x:c>
      <x:c r="B26" s="275" t="str">
        <x:v>addr_state</x:v>
      </x:c>
      <x:c r="C26" s="276" t="str">
        <x:v>The state provided by the borrower in the loan application</x:v>
      </x:c>
      <x:c r="D26" s="276" t="str">
        <x:v>차주 자기보고</x:v>
      </x:c>
      <x:c r="E26" s="287" t="str">
        <x:v>T0 신청서 입력·등록</x:v>
      </x:c>
      <x:c r="F26" s="276" t="str">
        <x:v>온라인 신청·등록 때 입력. listing 시점까지 전달되지만 일부 항목은 LC가 검증하지 않는다.</x:v>
      </x:c>
      <x:c r="G26" s="276" t="str">
        <x:v>원점 고정(신청/실행 시점)</x:v>
      </x:c>
      <x:c r="H26" s="279" t="str">
        <x:v>예</x:v>
      </x:c>
      <x:c r="I26" s="279" t="str">
        <x:v>예</x:v>
      </x:c>
      <x:c r="J26" s="285" t="str">
        <x:v>후보 Feature: 공정성·일반화 검토</x:v>
      </x:c>
      <x:c r="K26" s="276" t="str">
        <x:v>—</x:v>
      </x:c>
      <x:c r="L26" s="276" t="str">
        <x:v>시간누수 없음; 공정대출/지역·직업 proxy 및 자기보고 신뢰성 검토</x:v>
      </x:c>
      <x:c r="M26" s="281" t="str">
        <x:v>D1; S1; A1</x:v>
      </x:c>
      <x:c r="N26" s="282" t="str">
        <x:v>확정</x:v>
      </x:c>
    </x:row>
    <x:row r="27" ht="56" customHeight="1">
      <x:c r="A27" s="274" t="n">
        <x:v>23</x:v>
      </x:c>
      <x:c r="B27" s="275" t="str">
        <x:v>dti</x:v>
      </x:c>
      <x:c r="C27" s="276" t="str">
        <x:v>A ratio calculated using the borrower’s total monthly debt payments on the total debt obligations, excluding mortgage and the requested LC loan, divided by the borrower’s self-reported monthly income.</x:v>
      </x:c>
      <x:c r="D27" s="276" t="str">
        <x:v>LendingClub 계산(신청정보+신용정보)</x:v>
      </x:c>
      <x:c r="E27" s="290" t="str">
        <x:v>T1 신용조회·신청시점 파생</x:v>
      </x:c>
      <x:c r="F27" s="276" t="str">
        <x:v>신청 시점의 소득·월 부채상환액을 바탕으로 LC가 계산. 기존 의무 기준이며 요청 LC 대출은 정의상 제외된다.</x:v>
      </x:c>
      <x:c r="G27" s="276" t="str">
        <x:v>원점 고정(신청/실행 시점)</x:v>
      </x:c>
      <x:c r="H27" s="279" t="str">
        <x:v>예</x:v>
      </x:c>
      <x:c r="I27" s="279" t="str">
        <x:v>예</x:v>
      </x:c>
      <x:c r="J27" s="285" t="str">
        <x:v>후보 Feature</x:v>
      </x:c>
      <x:c r="K27" s="276" t="str">
        <x:v>—</x:v>
      </x:c>
      <x:c r="L27" s="276" t="str">
        <x:v>시간누수 없음(원점값 사용 전제); 결측은 '사건 없음'과 '미제공'을 구분</x:v>
      </x:c>
      <x:c r="M27" s="281" t="str">
        <x:v>D1; S1; A1</x:v>
      </x:c>
      <x:c r="N27" s="282" t="str">
        <x:v>확정</x:v>
      </x:c>
    </x:row>
    <x:row r="28" ht="56" customHeight="1">
      <x:c r="A28" s="274" t="n">
        <x:v>24</x:v>
      </x:c>
      <x:c r="B28" s="275" t="str">
        <x:v>delinq_2yrs</x:v>
      </x:c>
      <x:c r="C28" s="276" t="str">
        <x:v>The number of 30+ days past-due incidences of delinquency in the borrower's credit file for the past 2 years</x:v>
      </x:c>
      <x:c r="D28" s="276" t="str">
        <x:v>신용평가사 보고서(주 신청자)</x:v>
      </x:c>
      <x:c r="E28" s="290" t="str">
        <x:v>T1 신용조회·신청시점 파생</x:v>
      </x:c>
      <x:c r="F28" s="276" t="str">
        <x:v>신청 과정에서 조회한 신용보고서의 원점(origin) 지표. `last_*`와 달리 대출 후 갱신치가 아니다.</x:v>
      </x:c>
      <x:c r="G28" s="276" t="str">
        <x:v>원점 고정(신청/실행 시점)</x:v>
      </x:c>
      <x:c r="H28" s="279" t="str">
        <x:v>예</x:v>
      </x:c>
      <x:c r="I28" s="279" t="str">
        <x:v>예</x:v>
      </x:c>
      <x:c r="J28" s="285" t="str">
        <x:v>후보 Feature</x:v>
      </x:c>
      <x:c r="K28" s="276" t="str">
        <x:v>—</x:v>
      </x:c>
      <x:c r="L28" s="276" t="str">
        <x:v>시간누수 없음(원점값 사용 전제); 결측은 '사건 없음'과 '미제공'을 구분</x:v>
      </x:c>
      <x:c r="M28" s="281" t="str">
        <x:v>D1; S1; A1</x:v>
      </x:c>
      <x:c r="N28" s="282" t="str">
        <x:v>확정/강한 근거: 공식 정의 + listing 문서 + 신용정보 계열</x:v>
      </x:c>
    </x:row>
    <x:row r="29" ht="56" customHeight="1">
      <x:c r="A29" s="274" t="n">
        <x:v>25</x:v>
      </x:c>
      <x:c r="B29" s="275" t="str">
        <x:v>earliest_cr_line</x:v>
      </x:c>
      <x:c r="C29" s="276" t="str">
        <x:v>The month the borrower's earliest reported credit line was opened</x:v>
      </x:c>
      <x:c r="D29" s="276" t="str">
        <x:v>신용평가사 보고서(주 신청자)</x:v>
      </x:c>
      <x:c r="E29" s="290" t="str">
        <x:v>T1 신용조회·신청시점 파생</x:v>
      </x:c>
      <x:c r="F29" s="276" t="str">
        <x:v>신청 과정에서 조회한 신용보고서의 원점(origin) 지표. `last_*`와 달리 대출 후 갱신치가 아니다.</x:v>
      </x:c>
      <x:c r="G29" s="276" t="str">
        <x:v>원점 고정(신청/실행 시점)</x:v>
      </x:c>
      <x:c r="H29" s="279" t="str">
        <x:v>예</x:v>
      </x:c>
      <x:c r="I29" s="279" t="str">
        <x:v>예</x:v>
      </x:c>
      <x:c r="J29" s="285" t="str">
        <x:v>후보 Feature</x:v>
      </x:c>
      <x:c r="K29" s="276" t="str">
        <x:v>—</x:v>
      </x:c>
      <x:c r="L29" s="276" t="str">
        <x:v>시간누수 없음(원점값 사용 전제); 결측은 '사건 없음'과 '미제공'을 구분</x:v>
      </x:c>
      <x:c r="M29" s="281" t="str">
        <x:v>D1; S1; A1</x:v>
      </x:c>
      <x:c r="N29" s="282" t="str">
        <x:v>확정/강한 근거: 공식 정의 + listing 문서 + 신용정보 계열</x:v>
      </x:c>
    </x:row>
    <x:row r="30" ht="56" customHeight="1">
      <x:c r="A30" s="274" t="n">
        <x:v>26</x:v>
      </x:c>
      <x:c r="B30" s="275" t="str">
        <x:v>fico_range_low</x:v>
      </x:c>
      <x:c r="C30" s="276" t="str">
        <x:v>The lower boundary range the borrower’s FICO at loan origination belongs to.</x:v>
      </x:c>
      <x:c r="D30" s="276" t="str">
        <x:v>신용평가사 보고서(주 신청자)</x:v>
      </x:c>
      <x:c r="E30" s="290" t="str">
        <x:v>T1 신용조회·신청시점 파생</x:v>
      </x:c>
      <x:c r="F30" s="276" t="str">
        <x:v>신청 과정에서 조회한 신용보고서의 원점(origin) 지표. `last_*`와 달리 대출 후 갱신치가 아니다.</x:v>
      </x:c>
      <x:c r="G30" s="276" t="str">
        <x:v>원점 고정(신청/실행 시점)</x:v>
      </x:c>
      <x:c r="H30" s="279" t="str">
        <x:v>예</x:v>
      </x:c>
      <x:c r="I30" s="279" t="str">
        <x:v>예</x:v>
      </x:c>
      <x:c r="J30" s="285" t="str">
        <x:v>후보 Feature</x:v>
      </x:c>
      <x:c r="K30" s="276" t="str">
        <x:v>—</x:v>
      </x:c>
      <x:c r="L30" s="276" t="str">
        <x:v>시간누수 없음(원점값 사용 전제); 결측은 '사건 없음'과 '미제공'을 구분</x:v>
      </x:c>
      <x:c r="M30" s="281" t="str">
        <x:v>D1; S1; A1</x:v>
      </x:c>
      <x:c r="N30" s="282" t="str">
        <x:v>확정/강한 근거: 공식 정의 + listing 문서 + 신용정보 계열</x:v>
      </x:c>
    </x:row>
    <x:row r="31" ht="56" customHeight="1">
      <x:c r="A31" s="274" t="n">
        <x:v>27</x:v>
      </x:c>
      <x:c r="B31" s="275" t="str">
        <x:v>fico_range_high</x:v>
      </x:c>
      <x:c r="C31" s="276" t="str">
        <x:v>The upper boundary range the borrower’s FICO at loan origination belongs to.</x:v>
      </x:c>
      <x:c r="D31" s="276" t="str">
        <x:v>신용평가사 보고서(주 신청자)</x:v>
      </x:c>
      <x:c r="E31" s="290" t="str">
        <x:v>T1 신용조회·신청시점 파생</x:v>
      </x:c>
      <x:c r="F31" s="276" t="str">
        <x:v>신청 과정에서 조회한 신용보고서의 원점(origin) 지표. `last_*`와 달리 대출 후 갱신치가 아니다.</x:v>
      </x:c>
      <x:c r="G31" s="276" t="str">
        <x:v>원점 고정(신청/실행 시점)</x:v>
      </x:c>
      <x:c r="H31" s="279" t="str">
        <x:v>예</x:v>
      </x:c>
      <x:c r="I31" s="279" t="str">
        <x:v>예</x:v>
      </x:c>
      <x:c r="J31" s="285" t="str">
        <x:v>후보 Feature</x:v>
      </x:c>
      <x:c r="K31" s="276" t="str">
        <x:v>—</x:v>
      </x:c>
      <x:c r="L31" s="276" t="str">
        <x:v>시간누수 없음(원점값 사용 전제); 결측은 '사건 없음'과 '미제공'을 구분</x:v>
      </x:c>
      <x:c r="M31" s="281" t="str">
        <x:v>D1; S1; A1</x:v>
      </x:c>
      <x:c r="N31" s="282" t="str">
        <x:v>확정/강한 근거: 공식 정의 + listing 문서 + 신용정보 계열</x:v>
      </x:c>
    </x:row>
    <x:row r="32" ht="56" customHeight="1">
      <x:c r="A32" s="274" t="n">
        <x:v>28</x:v>
      </x:c>
      <x:c r="B32" s="275" t="str">
        <x:v>inq_last_6mths</x:v>
      </x:c>
      <x:c r="C32" s="276" t="str">
        <x:v>The number of inquiries in past 6 months (excluding auto and mortgage inquiries)</x:v>
      </x:c>
      <x:c r="D32" s="276" t="str">
        <x:v>신용평가사 보고서(주 신청자)</x:v>
      </x:c>
      <x:c r="E32" s="290" t="str">
        <x:v>T1 신용조회·신청시점 파생</x:v>
      </x:c>
      <x:c r="F32" s="276" t="str">
        <x:v>신청 과정에서 조회한 신용보고서의 원점(origin) 지표. `last_*`와 달리 대출 후 갱신치가 아니다.</x:v>
      </x:c>
      <x:c r="G32" s="276" t="str">
        <x:v>원점 고정(신청/실행 시점)</x:v>
      </x:c>
      <x:c r="H32" s="279" t="str">
        <x:v>예</x:v>
      </x:c>
      <x:c r="I32" s="279" t="str">
        <x:v>예</x:v>
      </x:c>
      <x:c r="J32" s="285" t="str">
        <x:v>후보 Feature</x:v>
      </x:c>
      <x:c r="K32" s="276" t="str">
        <x:v>—</x:v>
      </x:c>
      <x:c r="L32" s="276" t="str">
        <x:v>시간누수 없음(원점값 사용 전제); 결측은 '사건 없음'과 '미제공'을 구분</x:v>
      </x:c>
      <x:c r="M32" s="281" t="str">
        <x:v>D1; S1; A1</x:v>
      </x:c>
      <x:c r="N32" s="282" t="str">
        <x:v>확정/강한 근거: 공식 정의 + listing 문서 + 신용정보 계열</x:v>
      </x:c>
    </x:row>
    <x:row r="33" ht="56" customHeight="1">
      <x:c r="A33" s="274" t="n">
        <x:v>29</x:v>
      </x:c>
      <x:c r="B33" s="275" t="str">
        <x:v>mths_since_last_delinq</x:v>
      </x:c>
      <x:c r="C33" s="276" t="str">
        <x:v>The number of months since the borrower's last delinquency.</x:v>
      </x:c>
      <x:c r="D33" s="276" t="str">
        <x:v>신용평가사 보고서(주 신청자)</x:v>
      </x:c>
      <x:c r="E33" s="290" t="str">
        <x:v>T1 신용조회·신청시점 파생</x:v>
      </x:c>
      <x:c r="F33" s="276" t="str">
        <x:v>신청 과정에서 조회한 신용보고서의 원점(origin) 지표. `last_*`와 달리 대출 후 갱신치가 아니다.</x:v>
      </x:c>
      <x:c r="G33" s="276" t="str">
        <x:v>원점 고정(신청/실행 시점)</x:v>
      </x:c>
      <x:c r="H33" s="279" t="str">
        <x:v>예</x:v>
      </x:c>
      <x:c r="I33" s="279" t="str">
        <x:v>예</x:v>
      </x:c>
      <x:c r="J33" s="285" t="str">
        <x:v>후보 Feature</x:v>
      </x:c>
      <x:c r="K33" s="276" t="str">
        <x:v>—</x:v>
      </x:c>
      <x:c r="L33" s="276" t="str">
        <x:v>시간누수 없음(원점값 사용 전제); 결측은 '사건 없음'과 '미제공'을 구분</x:v>
      </x:c>
      <x:c r="M33" s="281" t="str">
        <x:v>D1; S1; A1</x:v>
      </x:c>
      <x:c r="N33" s="282" t="str">
        <x:v>확정/강한 근거: 공식 정의 + listing 문서 + 신용정보 계열</x:v>
      </x:c>
    </x:row>
    <x:row r="34" ht="56" customHeight="1">
      <x:c r="A34" s="274" t="n">
        <x:v>30</x:v>
      </x:c>
      <x:c r="B34" s="275" t="str">
        <x:v>mths_since_last_record</x:v>
      </x:c>
      <x:c r="C34" s="276" t="str">
        <x:v>The number of months since the last public record.</x:v>
      </x:c>
      <x:c r="D34" s="276" t="str">
        <x:v>신용평가사 보고서(주 신청자)</x:v>
      </x:c>
      <x:c r="E34" s="290" t="str">
        <x:v>T1 신용조회·신청시점 파생</x:v>
      </x:c>
      <x:c r="F34" s="276" t="str">
        <x:v>신청 과정에서 조회한 신용보고서의 원점(origin) 지표. `last_*`와 달리 대출 후 갱신치가 아니다.</x:v>
      </x:c>
      <x:c r="G34" s="276" t="str">
        <x:v>원점 고정(신청/실행 시점)</x:v>
      </x:c>
      <x:c r="H34" s="279" t="str">
        <x:v>예</x:v>
      </x:c>
      <x:c r="I34" s="279" t="str">
        <x:v>예</x:v>
      </x:c>
      <x:c r="J34" s="285" t="str">
        <x:v>후보 Feature</x:v>
      </x:c>
      <x:c r="K34" s="276" t="str">
        <x:v>—</x:v>
      </x:c>
      <x:c r="L34" s="276" t="str">
        <x:v>시간누수 없음(원점값 사용 전제); 결측은 '사건 없음'과 '미제공'을 구분</x:v>
      </x:c>
      <x:c r="M34" s="281" t="str">
        <x:v>D1; S1; A1</x:v>
      </x:c>
      <x:c r="N34" s="282" t="str">
        <x:v>확정/강한 근거: 공식 정의 + listing 문서 + 신용정보 계열</x:v>
      </x:c>
    </x:row>
    <x:row r="35" ht="56" customHeight="1">
      <x:c r="A35" s="274" t="n">
        <x:v>31</x:v>
      </x:c>
      <x:c r="B35" s="275" t="str">
        <x:v>open_acc</x:v>
      </x:c>
      <x:c r="C35" s="276" t="str">
        <x:v>The number of open credit lines in the borrower's credit file.</x:v>
      </x:c>
      <x:c r="D35" s="276" t="str">
        <x:v>신용평가사 보고서(주 신청자)</x:v>
      </x:c>
      <x:c r="E35" s="290" t="str">
        <x:v>T1 신용조회·신청시점 파생</x:v>
      </x:c>
      <x:c r="F35" s="276" t="str">
        <x:v>신청 과정에서 조회한 신용보고서의 원점(origin) 지표. `last_*`와 달리 대출 후 갱신치가 아니다.</x:v>
      </x:c>
      <x:c r="G35" s="276" t="str">
        <x:v>원점 고정(신청/실행 시점)</x:v>
      </x:c>
      <x:c r="H35" s="279" t="str">
        <x:v>예</x:v>
      </x:c>
      <x:c r="I35" s="279" t="str">
        <x:v>예</x:v>
      </x:c>
      <x:c r="J35" s="285" t="str">
        <x:v>후보 Feature</x:v>
      </x:c>
      <x:c r="K35" s="276" t="str">
        <x:v>—</x:v>
      </x:c>
      <x:c r="L35" s="276" t="str">
        <x:v>시간누수 없음(원점값 사용 전제); 결측은 '사건 없음'과 '미제공'을 구분</x:v>
      </x:c>
      <x:c r="M35" s="281" t="str">
        <x:v>D1; S1; A1</x:v>
      </x:c>
      <x:c r="N35" s="282" t="str">
        <x:v>확정/강한 근거: 공식 정의 + listing 문서 + 신용정보 계열</x:v>
      </x:c>
    </x:row>
    <x:row r="36" ht="56" customHeight="1">
      <x:c r="A36" s="274" t="n">
        <x:v>32</x:v>
      </x:c>
      <x:c r="B36" s="275" t="str">
        <x:v>pub_rec</x:v>
      </x:c>
      <x:c r="C36" s="276" t="str">
        <x:v>Number of derogatory public records</x:v>
      </x:c>
      <x:c r="D36" s="276" t="str">
        <x:v>신용평가사 보고서(주 신청자)</x:v>
      </x:c>
      <x:c r="E36" s="290" t="str">
        <x:v>T1 신용조회·신청시점 파생</x:v>
      </x:c>
      <x:c r="F36" s="276" t="str">
        <x:v>신청 과정에서 조회한 신용보고서의 원점(origin) 지표. `last_*`와 달리 대출 후 갱신치가 아니다.</x:v>
      </x:c>
      <x:c r="G36" s="276" t="str">
        <x:v>원점 고정(신청/실행 시점)</x:v>
      </x:c>
      <x:c r="H36" s="279" t="str">
        <x:v>예</x:v>
      </x:c>
      <x:c r="I36" s="279" t="str">
        <x:v>예</x:v>
      </x:c>
      <x:c r="J36" s="285" t="str">
        <x:v>후보 Feature</x:v>
      </x:c>
      <x:c r="K36" s="276" t="str">
        <x:v>—</x:v>
      </x:c>
      <x:c r="L36" s="276" t="str">
        <x:v>시간누수 없음(원점값 사용 전제); 결측은 '사건 없음'과 '미제공'을 구분</x:v>
      </x:c>
      <x:c r="M36" s="281" t="str">
        <x:v>D1; S1; A1</x:v>
      </x:c>
      <x:c r="N36" s="282" t="str">
        <x:v>확정/강한 근거: 공식 정의 + listing 문서 + 신용정보 계열</x:v>
      </x:c>
    </x:row>
    <x:row r="37" ht="56" customHeight="1">
      <x:c r="A37" s="274" t="n">
        <x:v>33</x:v>
      </x:c>
      <x:c r="B37" s="275" t="str">
        <x:v>revol_bal</x:v>
      </x:c>
      <x:c r="C37" s="276" t="str">
        <x:v>Total credit revolving balance</x:v>
      </x:c>
      <x:c r="D37" s="276" t="str">
        <x:v>신용평가사 보고서(주 신청자)</x:v>
      </x:c>
      <x:c r="E37" s="290" t="str">
        <x:v>T1 신용조회·신청시점 파생</x:v>
      </x:c>
      <x:c r="F37" s="276" t="str">
        <x:v>신청 과정에서 조회한 신용보고서의 원점(origin) 지표. `last_*`와 달리 대출 후 갱신치가 아니다.</x:v>
      </x:c>
      <x:c r="G37" s="276" t="str">
        <x:v>원점 고정(신청/실행 시점)</x:v>
      </x:c>
      <x:c r="H37" s="279" t="str">
        <x:v>예</x:v>
      </x:c>
      <x:c r="I37" s="279" t="str">
        <x:v>예</x:v>
      </x:c>
      <x:c r="J37" s="285" t="str">
        <x:v>후보 Feature</x:v>
      </x:c>
      <x:c r="K37" s="276" t="str">
        <x:v>—</x:v>
      </x:c>
      <x:c r="L37" s="276" t="str">
        <x:v>시간누수 없음(원점값 사용 전제); 결측은 '사건 없음'과 '미제공'을 구분</x:v>
      </x:c>
      <x:c r="M37" s="281" t="str">
        <x:v>D1; S1; A1</x:v>
      </x:c>
      <x:c r="N37" s="282" t="str">
        <x:v>확정/강한 근거: 공식 정의 + listing 문서 + 신용정보 계열</x:v>
      </x:c>
    </x:row>
    <x:row r="38" ht="56" customHeight="1">
      <x:c r="A38" s="274" t="n">
        <x:v>34</x:v>
      </x:c>
      <x:c r="B38" s="275" t="str">
        <x:v>revol_util</x:v>
      </x:c>
      <x:c r="C38" s="276" t="str">
        <x:v>Revolving line utilization rate, or the amount of credit the borrower is using relative to all available revolving credit.</x:v>
      </x:c>
      <x:c r="D38" s="276" t="str">
        <x:v>신용평가사 보고서(주 신청자)</x:v>
      </x:c>
      <x:c r="E38" s="290" t="str">
        <x:v>T1 신용조회·신청시점 파생</x:v>
      </x:c>
      <x:c r="F38" s="276" t="str">
        <x:v>신청 과정에서 조회한 신용보고서의 원점(origin) 지표. `last_*`와 달리 대출 후 갱신치가 아니다.</x:v>
      </x:c>
      <x:c r="G38" s="276" t="str">
        <x:v>원점 고정(신청/실행 시점)</x:v>
      </x:c>
      <x:c r="H38" s="279" t="str">
        <x:v>예</x:v>
      </x:c>
      <x:c r="I38" s="279" t="str">
        <x:v>예</x:v>
      </x:c>
      <x:c r="J38" s="285" t="str">
        <x:v>후보 Feature</x:v>
      </x:c>
      <x:c r="K38" s="276" t="str">
        <x:v>—</x:v>
      </x:c>
      <x:c r="L38" s="276" t="str">
        <x:v>시간누수 없음(원점값 사용 전제); 결측은 '사건 없음'과 '미제공'을 구분</x:v>
      </x:c>
      <x:c r="M38" s="281" t="str">
        <x:v>D1; S1; A1</x:v>
      </x:c>
      <x:c r="N38" s="282" t="str">
        <x:v>확정/강한 근거: 공식 정의 + listing 문서 + 신용정보 계열</x:v>
      </x:c>
    </x:row>
    <x:row r="39" ht="56" customHeight="1">
      <x:c r="A39" s="274" t="n">
        <x:v>35</x:v>
      </x:c>
      <x:c r="B39" s="275" t="str">
        <x:v>total_acc</x:v>
      </x:c>
      <x:c r="C39" s="276" t="str">
        <x:v>The total number of credit lines currently in the borrower's credit file</x:v>
      </x:c>
      <x:c r="D39" s="276" t="str">
        <x:v>신용평가사 보고서(주 신청자)</x:v>
      </x:c>
      <x:c r="E39" s="290" t="str">
        <x:v>T1 신용조회·신청시점 파생</x:v>
      </x:c>
      <x:c r="F39" s="276" t="str">
        <x:v>신청 과정에서 조회한 신용보고서의 원점(origin) 지표. `last_*`와 달리 대출 후 갱신치가 아니다.</x:v>
      </x:c>
      <x:c r="G39" s="276" t="str">
        <x:v>원점 고정(신청/실행 시점)</x:v>
      </x:c>
      <x:c r="H39" s="279" t="str">
        <x:v>예</x:v>
      </x:c>
      <x:c r="I39" s="279" t="str">
        <x:v>예</x:v>
      </x:c>
      <x:c r="J39" s="285" t="str">
        <x:v>후보 Feature</x:v>
      </x:c>
      <x:c r="K39" s="276" t="str">
        <x:v>—</x:v>
      </x:c>
      <x:c r="L39" s="276" t="str">
        <x:v>시간누수 없음(원점값 사용 전제); 결측은 '사건 없음'과 '미제공'을 구분</x:v>
      </x:c>
      <x:c r="M39" s="281" t="str">
        <x:v>D1; S1; A1</x:v>
      </x:c>
      <x:c r="N39" s="282" t="str">
        <x:v>확정/강한 근거: 공식 정의 + listing 문서 + 신용정보 계열</x:v>
      </x:c>
    </x:row>
    <x:row r="40" ht="56" customHeight="1">
      <x:c r="A40" s="274" t="n">
        <x:v>36</x:v>
      </x:c>
      <x:c r="B40" s="275" t="str">
        <x:v>initial_list_status</x:v>
      </x:c>
      <x:c r="C40" s="276" t="str">
        <x:v>The initial listing status of the loan. Possible values are – W, F</x:v>
      </x:c>
      <x:c r="D40" s="276" t="str">
        <x:v>LendingClub marketplace/listing 시스템</x:v>
      </x:c>
      <x:c r="E40" s="277" t="str">
        <x:v>T3 승인대출 게시·투자주문</x:v>
      </x:c>
      <x:c r="F40" s="276" t="str">
        <x:v>대출이 marketplace에 처음 게시될 때 whole/fractional listing 상태가 정해진다.</x:v>
      </x:c>
      <x:c r="G40" s="276" t="str">
        <x:v>listing 메타데이터</x:v>
      </x:c>
      <x:c r="H40" s="278" t="str">
        <x:v>아니오</x:v>
      </x:c>
      <x:c r="I40" s="279" t="str">
        <x:v>예</x:v>
      </x:c>
      <x:c r="J40" s="285" t="str">
        <x:v>후보 Feature: listing 채널 신호</x:v>
      </x:c>
      <x:c r="K40" s="276" t="str">
        <x:v>—</x:v>
      </x:c>
      <x:c r="L40" s="276" t="str">
        <x:v>채널/할당정책 내생성</x:v>
      </x:c>
      <x:c r="M40" s="281" t="str">
        <x:v>D1; S1</x:v>
      </x:c>
      <x:c r="N40" s="282" t="str">
        <x:v>확정</x:v>
      </x:c>
    </x:row>
    <x:row r="41" ht="56" customHeight="1">
      <x:c r="A41" s="274" t="n">
        <x:v>37</x:v>
      </x:c>
      <x:c r="B41" s="275" t="str">
        <x:v>out_prncp</x:v>
      </x:c>
      <x:c r="C41" s="276" t="str">
        <x:v>Remaining outstanding principal for total amount funded</x:v>
      </x:c>
      <x:c r="D41" s="276" t="str">
        <x:v>LendingClub servicing ledger</x:v>
      </x:c>
      <x:c r="E41" s="289" t="str">
        <x:v>T5 상환·정기 모니터링</x:v>
      </x:c>
      <x:c r="F41" s="276" t="str">
        <x:v>상환 때마다 감소하는 추출일 현재 미상환원금 스냅샷.</x:v>
      </x:c>
      <x:c r="G41" s="276" t="str">
        <x:v>사후 동적 스냅샷/누적</x:v>
      </x:c>
      <x:c r="H41" s="278" t="str">
        <x:v>아니오</x:v>
      </x:c>
      <x:c r="I41" s="278" t="str">
        <x:v>아니오</x:v>
      </x:c>
      <x:c r="J41" s="280" t="str">
        <x:v>제외: 사후정보</x:v>
      </x:c>
      <x:c r="K41" s="276" t="str">
        <x:v>추출일 미상환원금·Current 검열/잔액</x:v>
      </x:c>
      <x:c r="L41" s="276" t="str">
        <x:v>명백한 사후정보; predictor 사용 시 심각한 target leakage</x:v>
      </x:c>
      <x:c r="M41" s="281" t="str">
        <x:v>D1; S3</x:v>
      </x:c>
      <x:c r="N41" s="282" t="str">
        <x:v>확정</x:v>
      </x:c>
    </x:row>
    <x:row r="42" ht="56" customHeight="1">
      <x:c r="A42" s="274" t="n">
        <x:v>38</x:v>
      </x:c>
      <x:c r="B42" s="275" t="str">
        <x:v>out_prncp_inv</x:v>
      </x:c>
      <x:c r="C42" s="276" t="str">
        <x:v>Remaining outstanding principal for portion of total amount funded by investors</x:v>
      </x:c>
      <x:c r="D42" s="276" t="str">
        <x:v>LendingClub servicing ledger</x:v>
      </x:c>
      <x:c r="E42" s="289" t="str">
        <x:v>T5 상환·정기 모니터링</x:v>
      </x:c>
      <x:c r="F42" s="276" t="str">
        <x:v>상환 때마다 감소하는 추출일 현재 미상환원금 스냅샷.</x:v>
      </x:c>
      <x:c r="G42" s="276" t="str">
        <x:v>사후 동적 스냅샷/누적</x:v>
      </x:c>
      <x:c r="H42" s="278" t="str">
        <x:v>아니오</x:v>
      </x:c>
      <x:c r="I42" s="278" t="str">
        <x:v>아니오</x:v>
      </x:c>
      <x:c r="J42" s="280" t="str">
        <x:v>제외: 사후정보</x:v>
      </x:c>
      <x:c r="K42" s="276" t="str">
        <x:v>투자자 지분의 추출일 미상환원금</x:v>
      </x:c>
      <x:c r="L42" s="276" t="str">
        <x:v>명백한 사후정보; predictor 사용 시 심각한 target leakage</x:v>
      </x:c>
      <x:c r="M42" s="281" t="str">
        <x:v>D1; S3</x:v>
      </x:c>
      <x:c r="N42" s="282" t="str">
        <x:v>확정</x:v>
      </x:c>
    </x:row>
    <x:row r="43" ht="56" customHeight="1">
      <x:c r="A43" s="274" t="n">
        <x:v>39</x:v>
      </x:c>
      <x:c r="B43" s="275" t="str">
        <x:v>total_pymnt</x:v>
      </x:c>
      <x:c r="C43" s="276" t="str">
        <x:v>Payments received to date for total amount funded</x:v>
      </x:c>
      <x:c r="D43" s="276" t="str">
        <x:v>LendingClub servicing ledger</x:v>
      </x:c>
      <x:c r="E43" s="289" t="str">
        <x:v>T5 상환·정기 모니터링</x:v>
      </x:c>
      <x:c r="F43" s="276" t="str">
        <x:v>대출 실행 뒤 실제 결제 흐름에 따라 누적 또는 최근값으로 갱신되는 servicing 정보.</x:v>
      </x:c>
      <x:c r="G43" s="276" t="str">
        <x:v>사후 동적 스냅샷/누적</x:v>
      </x:c>
      <x:c r="H43" s="278" t="str">
        <x:v>아니오</x:v>
      </x:c>
      <x:c r="I43" s="278" t="str">
        <x:v>아니오</x:v>
      </x:c>
      <x:c r="J43" s="280" t="str">
        <x:v>제외: 사후정보</x:v>
      </x:c>
      <x:c r="K43" s="276" t="str">
        <x:v>총 자금 기준 누적 현금유입</x:v>
      </x:c>
      <x:c r="L43" s="276" t="str">
        <x:v>명백한 사후정보; predictor 사용 시 심각한 target leakage</x:v>
      </x:c>
      <x:c r="M43" s="281" t="str">
        <x:v>D1; S3</x:v>
      </x:c>
      <x:c r="N43" s="282" t="str">
        <x:v>확정</x:v>
      </x:c>
    </x:row>
    <x:row r="44" ht="56" customHeight="1">
      <x:c r="A44" s="274" t="n">
        <x:v>40</x:v>
      </x:c>
      <x:c r="B44" s="275" t="str">
        <x:v>total_pymnt_inv</x:v>
      </x:c>
      <x:c r="C44" s="276" t="str">
        <x:v>Payments received to date for portion of total amount funded by investors</x:v>
      </x:c>
      <x:c r="D44" s="276" t="str">
        <x:v>LendingClub servicing ledger</x:v>
      </x:c>
      <x:c r="E44" s="289" t="str">
        <x:v>T5 상환·정기 모니터링</x:v>
      </x:c>
      <x:c r="F44" s="276" t="str">
        <x:v>대출 실행 뒤 실제 결제 흐름에 따라 누적 또는 최근값으로 갱신되는 servicing 정보.</x:v>
      </x:c>
      <x:c r="G44" s="276" t="str">
        <x:v>사후 동적 스냅샷/누적</x:v>
      </x:c>
      <x:c r="H44" s="278" t="str">
        <x:v>아니오</x:v>
      </x:c>
      <x:c r="I44" s="278" t="str">
        <x:v>아니오</x:v>
      </x:c>
      <x:c r="J44" s="280" t="str">
        <x:v>제외: 사후정보</x:v>
      </x:c>
      <x:c r="K44" s="276" t="str">
        <x:v>투자자 지분 기준 누적 현금유입</x:v>
      </x:c>
      <x:c r="L44" s="276" t="str">
        <x:v>명백한 사후정보; predictor 사용 시 심각한 target leakage</x:v>
      </x:c>
      <x:c r="M44" s="281" t="str">
        <x:v>D1; S3</x:v>
      </x:c>
      <x:c r="N44" s="282" t="str">
        <x:v>확정</x:v>
      </x:c>
    </x:row>
    <x:row r="45" ht="56" customHeight="1">
      <x:c r="A45" s="274" t="n">
        <x:v>41</x:v>
      </x:c>
      <x:c r="B45" s="275" t="str">
        <x:v>total_rec_prncp</x:v>
      </x:c>
      <x:c r="C45" s="276" t="str">
        <x:v>Principal received to date</x:v>
      </x:c>
      <x:c r="D45" s="276" t="str">
        <x:v>LendingClub servicing ledger</x:v>
      </x:c>
      <x:c r="E45" s="289" t="str">
        <x:v>T5 상환·정기 모니터링</x:v>
      </x:c>
      <x:c r="F45" s="276" t="str">
        <x:v>대출 실행 뒤 실제 결제 흐름에 따라 누적 또는 최근값으로 갱신되는 servicing 정보.</x:v>
      </x:c>
      <x:c r="G45" s="276" t="str">
        <x:v>사후 동적 스냅샷/누적</x:v>
      </x:c>
      <x:c r="H45" s="278" t="str">
        <x:v>아니오</x:v>
      </x:c>
      <x:c r="I45" s="278" t="str">
        <x:v>아니오</x:v>
      </x:c>
      <x:c r="J45" s="280" t="str">
        <x:v>제외: 사후정보</x:v>
      </x:c>
      <x:c r="K45" s="276" t="str">
        <x:v>누적 회수원금</x:v>
      </x:c>
      <x:c r="L45" s="276" t="str">
        <x:v>명백한 사후정보; predictor 사용 시 심각한 target leakage</x:v>
      </x:c>
      <x:c r="M45" s="281" t="str">
        <x:v>D1; S3</x:v>
      </x:c>
      <x:c r="N45" s="282" t="str">
        <x:v>확정</x:v>
      </x:c>
    </x:row>
    <x:row r="46" ht="56" customHeight="1">
      <x:c r="A46" s="274" t="n">
        <x:v>42</x:v>
      </x:c>
      <x:c r="B46" s="275" t="str">
        <x:v>total_rec_int</x:v>
      </x:c>
      <x:c r="C46" s="276" t="str">
        <x:v>Interest received to date</x:v>
      </x:c>
      <x:c r="D46" s="276" t="str">
        <x:v>LendingClub servicing ledger</x:v>
      </x:c>
      <x:c r="E46" s="289" t="str">
        <x:v>T5 상환·정기 모니터링</x:v>
      </x:c>
      <x:c r="F46" s="276" t="str">
        <x:v>대출 실행 뒤 실제 결제 흐름에 따라 누적 또는 최근값으로 갱신되는 servicing 정보.</x:v>
      </x:c>
      <x:c r="G46" s="276" t="str">
        <x:v>사후 동적 스냅샷/누적</x:v>
      </x:c>
      <x:c r="H46" s="278" t="str">
        <x:v>아니오</x:v>
      </x:c>
      <x:c r="I46" s="278" t="str">
        <x:v>아니오</x:v>
      </x:c>
      <x:c r="J46" s="280" t="str">
        <x:v>제외: 사후정보</x:v>
      </x:c>
      <x:c r="K46" s="276" t="str">
        <x:v>누적 이자수입</x:v>
      </x:c>
      <x:c r="L46" s="276" t="str">
        <x:v>명백한 사후정보; predictor 사용 시 심각한 target leakage</x:v>
      </x:c>
      <x:c r="M46" s="281" t="str">
        <x:v>D1; S3</x:v>
      </x:c>
      <x:c r="N46" s="282" t="str">
        <x:v>확정</x:v>
      </x:c>
    </x:row>
    <x:row r="47" ht="56" customHeight="1">
      <x:c r="A47" s="274" t="n">
        <x:v>43</x:v>
      </x:c>
      <x:c r="B47" s="275" t="str">
        <x:v>total_rec_late_fee</x:v>
      </x:c>
      <x:c r="C47" s="276" t="str">
        <x:v>Late fees received to date</x:v>
      </x:c>
      <x:c r="D47" s="276" t="str">
        <x:v>LendingClub servicing ledger</x:v>
      </x:c>
      <x:c r="E47" s="289" t="str">
        <x:v>T5 상환·정기 모니터링</x:v>
      </x:c>
      <x:c r="F47" s="276" t="str">
        <x:v>대출 실행 뒤 실제 결제 흐름에 따라 누적 또는 최근값으로 갱신되는 servicing 정보.</x:v>
      </x:c>
      <x:c r="G47" s="276" t="str">
        <x:v>사후 동적 스냅샷/누적</x:v>
      </x:c>
      <x:c r="H47" s="278" t="str">
        <x:v>아니오</x:v>
      </x:c>
      <x:c r="I47" s="278" t="str">
        <x:v>아니오</x:v>
      </x:c>
      <x:c r="J47" s="280" t="str">
        <x:v>제외: 사후정보</x:v>
      </x:c>
      <x:c r="K47" s="276" t="str">
        <x:v>누적 연체료 수입</x:v>
      </x:c>
      <x:c r="L47" s="276" t="str">
        <x:v>명백한 사후정보; predictor 사용 시 심각한 target leakage</x:v>
      </x:c>
      <x:c r="M47" s="281" t="str">
        <x:v>D1; S3</x:v>
      </x:c>
      <x:c r="N47" s="282" t="str">
        <x:v>확정</x:v>
      </x:c>
    </x:row>
    <x:row r="48" ht="56" customHeight="1">
      <x:c r="A48" s="274" t="n">
        <x:v>44</x:v>
      </x:c>
      <x:c r="B48" s="275" t="str">
        <x:v>recoveries</x:v>
      </x:c>
      <x:c r="C48" s="276" t="str">
        <x:v>post charge off gross recovery</x:v>
      </x:c>
      <x:c r="D48" s="276" t="str">
        <x:v>LendingClub/추심기관 회수 ledger</x:v>
      </x:c>
      <x:c r="E48" s="291" t="str">
        <x:v>T6 연체·workout·회수·정산</x:v>
      </x:c>
      <x:c r="F48" s="276" t="str">
        <x:v>charge-off 뒤 회수·추심이 성공할 때 생성/누적. collection fee는 회수 과정 비용이다.</x:v>
      </x:c>
      <x:c r="G48" s="276" t="str">
        <x:v>사후 사건·workout 정보</x:v>
      </x:c>
      <x:c r="H48" s="278" t="str">
        <x:v>아니오</x:v>
      </x:c>
      <x:c r="I48" s="278" t="str">
        <x:v>아니오</x:v>
      </x:c>
      <x:c r="J48" s="280" t="str">
        <x:v>제외: 사후정보</x:v>
      </x:c>
      <x:c r="K48" s="276" t="str">
        <x:v>charge-off 후 총 회수액</x:v>
      </x:c>
      <x:c r="L48" s="276" t="str">
        <x:v>명백한 사후정보; predictor 사용 시 심각한 target leakage</x:v>
      </x:c>
      <x:c r="M48" s="281" t="str">
        <x:v>D1; S3</x:v>
      </x:c>
      <x:c r="N48" s="282" t="str">
        <x:v>확정</x:v>
      </x:c>
    </x:row>
    <x:row r="49" ht="56" customHeight="1">
      <x:c r="A49" s="274" t="n">
        <x:v>45</x:v>
      </x:c>
      <x:c r="B49" s="275" t="str">
        <x:v>collection_recovery_fee</x:v>
      </x:c>
      <x:c r="C49" s="276" t="str">
        <x:v>post charge off collection fee</x:v>
      </x:c>
      <x:c r="D49" s="276" t="str">
        <x:v>LendingClub/추심기관 회수 ledger</x:v>
      </x:c>
      <x:c r="E49" s="291" t="str">
        <x:v>T6 연체·workout·회수·정산</x:v>
      </x:c>
      <x:c r="F49" s="276" t="str">
        <x:v>charge-off 뒤 회수·추심이 성공할 때 생성/누적. collection fee는 회수 과정 비용이다.</x:v>
      </x:c>
      <x:c r="G49" s="276" t="str">
        <x:v>사후 사건·workout 정보</x:v>
      </x:c>
      <x:c r="H49" s="278" t="str">
        <x:v>아니오</x:v>
      </x:c>
      <x:c r="I49" s="278" t="str">
        <x:v>아니오</x:v>
      </x:c>
      <x:c r="J49" s="280" t="str">
        <x:v>제외: 사후정보</x:v>
      </x:c>
      <x:c r="K49" s="276" t="str">
        <x:v>charge-off 후 회수비용</x:v>
      </x:c>
      <x:c r="L49" s="276" t="str">
        <x:v>명백한 사후정보; predictor 사용 시 심각한 target leakage</x:v>
      </x:c>
      <x:c r="M49" s="281" t="str">
        <x:v>D1; S3</x:v>
      </x:c>
      <x:c r="N49" s="282" t="str">
        <x:v>확정</x:v>
      </x:c>
    </x:row>
    <x:row r="50" ht="56" customHeight="1">
      <x:c r="A50" s="274" t="n">
        <x:v>46</x:v>
      </x:c>
      <x:c r="B50" s="275" t="str">
        <x:v>last_pymnt_d</x:v>
      </x:c>
      <x:c r="C50" s="276" t="str">
        <x:v>Last month payment was received</x:v>
      </x:c>
      <x:c r="D50" s="276" t="str">
        <x:v>LendingClub servicing ledger</x:v>
      </x:c>
      <x:c r="E50" s="289" t="str">
        <x:v>T5 상환·정기 모니터링</x:v>
      </x:c>
      <x:c r="F50" s="276" t="str">
        <x:v>대출 실행 뒤 실제 결제 흐름에 따라 누적 또는 최근값으로 갱신되는 servicing 정보.</x:v>
      </x:c>
      <x:c r="G50" s="276" t="str">
        <x:v>사후 동적 스냅샷/누적</x:v>
      </x:c>
      <x:c r="H50" s="278" t="str">
        <x:v>아니오</x:v>
      </x:c>
      <x:c r="I50" s="278" t="str">
        <x:v>아니오</x:v>
      </x:c>
      <x:c r="J50" s="280" t="str">
        <x:v>제외: 사후정보</x:v>
      </x:c>
      <x:c r="K50" s="276" t="str">
        <x:v>마지막 납부월(현금흐름 시점의 일부만 제공)</x:v>
      </x:c>
      <x:c r="L50" s="276" t="str">
        <x:v>명백한 사후정보; predictor 사용 시 심각한 target leakage</x:v>
      </x:c>
      <x:c r="M50" s="281" t="str">
        <x:v>D1; S3</x:v>
      </x:c>
      <x:c r="N50" s="282" t="str">
        <x:v>확정</x:v>
      </x:c>
    </x:row>
    <x:row r="51" ht="56" customHeight="1">
      <x:c r="A51" s="274" t="n">
        <x:v>47</x:v>
      </x:c>
      <x:c r="B51" s="275" t="str">
        <x:v>last_pymnt_amnt</x:v>
      </x:c>
      <x:c r="C51" s="276" t="str">
        <x:v>Last total payment amount received</x:v>
      </x:c>
      <x:c r="D51" s="276" t="str">
        <x:v>LendingClub servicing ledger</x:v>
      </x:c>
      <x:c r="E51" s="289" t="str">
        <x:v>T5 상환·정기 모니터링</x:v>
      </x:c>
      <x:c r="F51" s="276" t="str">
        <x:v>대출 실행 뒤 실제 결제 흐름에 따라 누적 또는 최근값으로 갱신되는 servicing 정보.</x:v>
      </x:c>
      <x:c r="G51" s="276" t="str">
        <x:v>사후 동적 스냅샷/누적</x:v>
      </x:c>
      <x:c r="H51" s="278" t="str">
        <x:v>아니오</x:v>
      </x:c>
      <x:c r="I51" s="278" t="str">
        <x:v>아니오</x:v>
      </x:c>
      <x:c r="J51" s="280" t="str">
        <x:v>제외: 사후정보</x:v>
      </x:c>
      <x:c r="K51" s="276" t="str">
        <x:v>마지막 납부액</x:v>
      </x:c>
      <x:c r="L51" s="276" t="str">
        <x:v>명백한 사후정보; predictor 사용 시 심각한 target leakage</x:v>
      </x:c>
      <x:c r="M51" s="281" t="str">
        <x:v>D1; S3</x:v>
      </x:c>
      <x:c r="N51" s="282" t="str">
        <x:v>확정</x:v>
      </x:c>
    </x:row>
    <x:row r="52" ht="56" customHeight="1">
      <x:c r="A52" s="274" t="n">
        <x:v>48</x:v>
      </x:c>
      <x:c r="B52" s="275" t="str">
        <x:v>next_pymnt_d</x:v>
      </x:c>
      <x:c r="C52" s="276" t="str">
        <x:v>Next scheduled payment date</x:v>
      </x:c>
      <x:c r="D52" s="276" t="str">
        <x:v>LendingClub servicing ledger</x:v>
      </x:c>
      <x:c r="E52" s="289" t="str">
        <x:v>T5 상환·정기 모니터링</x:v>
      </x:c>
      <x:c r="F52" s="276" t="str">
        <x:v>상환 중인 계정의 추출일 현재 다음 예정 납부월.</x:v>
      </x:c>
      <x:c r="G52" s="276" t="str">
        <x:v>사후 동적 스냅샷/누적</x:v>
      </x:c>
      <x:c r="H52" s="278" t="str">
        <x:v>아니오</x:v>
      </x:c>
      <x:c r="I52" s="278" t="str">
        <x:v>아니오</x:v>
      </x:c>
      <x:c r="J52" s="280" t="str">
        <x:v>제외: 사후정보</x:v>
      </x:c>
      <x:c r="K52" s="276" t="str">
        <x:v>미성숙 대출 모니터링</x:v>
      </x:c>
      <x:c r="L52" s="276" t="str">
        <x:v>명백한 사후정보; predictor 사용 시 심각한 target leakage</x:v>
      </x:c>
      <x:c r="M52" s="281" t="str">
        <x:v>D1; S3</x:v>
      </x:c>
      <x:c r="N52" s="282" t="str">
        <x:v>확정</x:v>
      </x:c>
    </x:row>
    <x:row r="53" ht="56" customHeight="1">
      <x:c r="A53" s="274" t="n">
        <x:v>49</x:v>
      </x:c>
      <x:c r="B53" s="275" t="str">
        <x:v>last_credit_pull_d</x:v>
      </x:c>
      <x:c r="C53" s="276" t="str">
        <x:v>The most recent month LC pulled credit for this loan</x:v>
      </x:c>
      <x:c r="D53" s="276" t="str">
        <x:v>대출 실행 후 신용평가사 재조회</x:v>
      </x:c>
      <x:c r="E53" s="289" t="str">
        <x:v>T5 상환·정기 모니터링</x:v>
      </x:c>
      <x:c r="F53" s="276" t="str">
        <x:v>대출 실행 후 LC가 다시 신용을 조회할 때 갱신. 초기 FICO가 아니라 사후 모니터링 정보다.</x:v>
      </x:c>
      <x:c r="G53" s="276" t="str">
        <x:v>사후 동적 스냅샷/누적</x:v>
      </x:c>
      <x:c r="H53" s="278" t="str">
        <x:v>아니오</x:v>
      </x:c>
      <x:c r="I53" s="278" t="str">
        <x:v>아니오</x:v>
      </x:c>
      <x:c r="J53" s="280" t="str">
        <x:v>제외: 사후정보</x:v>
      </x:c>
      <x:c r="K53" s="276" t="str">
        <x:v>사후 모니터링 시점</x:v>
      </x:c>
      <x:c r="L53" s="276" t="str">
        <x:v>명백한 사후 모니터링 정보</x:v>
      </x:c>
      <x:c r="M53" s="281" t="str">
        <x:v>D1; S3</x:v>
      </x:c>
      <x:c r="N53" s="282" t="str">
        <x:v>확정</x:v>
      </x:c>
    </x:row>
    <x:row r="54" ht="56" customHeight="1">
      <x:c r="A54" s="274" t="n">
        <x:v>50</x:v>
      </x:c>
      <x:c r="B54" s="275" t="str">
        <x:v>last_fico_range_high</x:v>
      </x:c>
      <x:c r="C54" s="276" t="str">
        <x:v>The upper boundary range the borrower’s last FICO pulled belongs to.</x:v>
      </x:c>
      <x:c r="D54" s="276" t="str">
        <x:v>대출 실행 후 신용평가사 재조회</x:v>
      </x:c>
      <x:c r="E54" s="289" t="str">
        <x:v>T5 상환·정기 모니터링</x:v>
      </x:c>
      <x:c r="F54" s="276" t="str">
        <x:v>대출 실행 후 LC가 다시 신용을 조회할 때 갱신. 초기 FICO가 아니라 사후 모니터링 정보다.</x:v>
      </x:c>
      <x:c r="G54" s="276" t="str">
        <x:v>사후 동적 스냅샷/누적</x:v>
      </x:c>
      <x:c r="H54" s="278" t="str">
        <x:v>아니오</x:v>
      </x:c>
      <x:c r="I54" s="278" t="str">
        <x:v>아니오</x:v>
      </x:c>
      <x:c r="J54" s="280" t="str">
        <x:v>제외: 사후정보</x:v>
      </x:c>
      <x:c r="K54" s="276" t="str">
        <x:v>사후 신용위험 모니터링</x:v>
      </x:c>
      <x:c r="L54" s="276" t="str">
        <x:v>명백한 사후 모니터링 정보</x:v>
      </x:c>
      <x:c r="M54" s="281" t="str">
        <x:v>D1; S3</x:v>
      </x:c>
      <x:c r="N54" s="282" t="str">
        <x:v>확정</x:v>
      </x:c>
    </x:row>
    <x:row r="55" ht="56" customHeight="1">
      <x:c r="A55" s="274" t="n">
        <x:v>51</x:v>
      </x:c>
      <x:c r="B55" s="275" t="str">
        <x:v>last_fico_range_low</x:v>
      </x:c>
      <x:c r="C55" s="276" t="str">
        <x:v>The lower boundary range the borrower’s last FICO pulled belongs to.</x:v>
      </x:c>
      <x:c r="D55" s="276" t="str">
        <x:v>대출 실행 후 신용평가사 재조회</x:v>
      </x:c>
      <x:c r="E55" s="289" t="str">
        <x:v>T5 상환·정기 모니터링</x:v>
      </x:c>
      <x:c r="F55" s="276" t="str">
        <x:v>대출 실행 후 LC가 다시 신용을 조회할 때 갱신. 초기 FICO가 아니라 사후 모니터링 정보다.</x:v>
      </x:c>
      <x:c r="G55" s="276" t="str">
        <x:v>사후 동적 스냅샷/누적</x:v>
      </x:c>
      <x:c r="H55" s="278" t="str">
        <x:v>아니오</x:v>
      </x:c>
      <x:c r="I55" s="278" t="str">
        <x:v>아니오</x:v>
      </x:c>
      <x:c r="J55" s="280" t="str">
        <x:v>제외: 사후정보</x:v>
      </x:c>
      <x:c r="K55" s="276" t="str">
        <x:v>사후 신용위험 모니터링</x:v>
      </x:c>
      <x:c r="L55" s="276" t="str">
        <x:v>명백한 사후 모니터링 정보</x:v>
      </x:c>
      <x:c r="M55" s="281" t="str">
        <x:v>D1; S3</x:v>
      </x:c>
      <x:c r="N55" s="282" t="str">
        <x:v>확정</x:v>
      </x:c>
    </x:row>
    <x:row r="56" ht="56" customHeight="1">
      <x:c r="A56" s="274" t="n">
        <x:v>52</x:v>
      </x:c>
      <x:c r="B56" s="275" t="str">
        <x:v>collections_12_mths_ex_med</x:v>
      </x:c>
      <x:c r="C56" s="276" t="str">
        <x:v>Number of collections in 12 months excluding medical collections</x:v>
      </x:c>
      <x:c r="D56" s="276" t="str">
        <x:v>신용평가사 보고서(주 신청자)</x:v>
      </x:c>
      <x:c r="E56" s="290" t="str">
        <x:v>T1 신용조회·신청시점 파생</x:v>
      </x:c>
      <x:c r="F56" s="276" t="str">
        <x:v>신청 당시 기존 신용계정의 연체·charge-off·collection 정보다. 이 LendingClub 대출의 사후 결과가 아니다.</x:v>
      </x:c>
      <x:c r="G56" s="276" t="str">
        <x:v>원점 고정(신청/실행 시점)</x:v>
      </x:c>
      <x:c r="H56" s="279" t="str">
        <x:v>예</x:v>
      </x:c>
      <x:c r="I56" s="279" t="str">
        <x:v>예</x:v>
      </x:c>
      <x:c r="J56" s="285" t="str">
        <x:v>후보 Feature</x:v>
      </x:c>
      <x:c r="K56" s="276" t="str">
        <x:v>—</x:v>
      </x:c>
      <x:c r="L56" s="276" t="str">
        <x:v>시간누수 없음(원점값 사용 전제); 결측은 '사건 없음'과 '미제공'을 구분</x:v>
      </x:c>
      <x:c r="M56" s="281" t="str">
        <x:v>D1; S1; A1</x:v>
      </x:c>
      <x:c r="N56" s="282" t="str">
        <x:v>확정/강한 근거: 공식 정의 + listing 문서 + 신용정보 계열</x:v>
      </x:c>
    </x:row>
    <x:row r="57" ht="56" customHeight="1">
      <x:c r="A57" s="274" t="n">
        <x:v>53</x:v>
      </x:c>
      <x:c r="B57" s="275" t="str">
        <x:v>mths_since_last_major_derog</x:v>
      </x:c>
      <x:c r="C57" s="276" t="str">
        <x:v>Months since most recent 90-day or worse rating</x:v>
      </x:c>
      <x:c r="D57" s="276" t="str">
        <x:v>신용평가사 보고서(주 신청자)</x:v>
      </x:c>
      <x:c r="E57" s="290" t="str">
        <x:v>T1 신용조회·신청시점 파생</x:v>
      </x:c>
      <x:c r="F57" s="276" t="str">
        <x:v>신청 과정에서 조회한 신용보고서의 원점(origin) 지표. `last_*`와 달리 대출 후 갱신치가 아니다.</x:v>
      </x:c>
      <x:c r="G57" s="276" t="str">
        <x:v>원점 고정(신청/실행 시점)</x:v>
      </x:c>
      <x:c r="H57" s="279" t="str">
        <x:v>예</x:v>
      </x:c>
      <x:c r="I57" s="279" t="str">
        <x:v>예</x:v>
      </x:c>
      <x:c r="J57" s="285" t="str">
        <x:v>후보 Feature</x:v>
      </x:c>
      <x:c r="K57" s="276" t="str">
        <x:v>—</x:v>
      </x:c>
      <x:c r="L57" s="276" t="str">
        <x:v>시간누수 없음(원점값 사용 전제); 결측은 '사건 없음'과 '미제공'을 구분</x:v>
      </x:c>
      <x:c r="M57" s="281" t="str">
        <x:v>D1; S1; A1</x:v>
      </x:c>
      <x:c r="N57" s="282" t="str">
        <x:v>확정/강한 근거: 공식 정의 + listing 문서 + 신용정보 계열</x:v>
      </x:c>
    </x:row>
    <x:row r="58" ht="56" customHeight="1">
      <x:c r="A58" s="274" t="n">
        <x:v>54</x:v>
      </x:c>
      <x:c r="B58" s="275" t="str">
        <x:v>policy_code</x:v>
      </x:c>
      <x:c r="C58" s="276" t="str">
        <x:v>publicly available policy_code=1 new products not publicly available policy_code=2</x:v>
      </x:c>
      <x:c r="D58" s="276" t="str">
        <x:v>LendingClub 정책/상품 체계</x:v>
      </x:c>
      <x:c r="E58" s="283" t="str">
        <x:v>T2 심사·검증·가격책정</x:v>
      </x:c>
      <x:c r="F58" s="276" t="str">
        <x:v>해당 대출이 따르는 공개/비공개 정책 코드를 심사·listing 과정에서 부여. 공개 데이터에서는 대부분 1이라 분산이 거의 없다.</x:v>
      </x:c>
      <x:c r="G58" s="276" t="str">
        <x:v>listing 메타데이터</x:v>
      </x:c>
      <x:c r="H58" s="284" t="str">
        <x:v>조건부</x:v>
      </x:c>
      <x:c r="I58" s="279" t="str">
        <x:v>예</x:v>
      </x:c>
      <x:c r="J58" s="288" t="str">
        <x:v>정책구간 필터·통제 전용</x:v>
      </x:c>
      <x:c r="K58" s="276" t="str">
        <x:v>—</x:v>
      </x:c>
      <x:c r="L58" s="276" t="str">
        <x:v>정책 내생성·시대변화; 대부분 상수라 예측력 착시 가능</x:v>
      </x:c>
      <x:c r="M58" s="281" t="str">
        <x:v>D1; S1; A1</x:v>
      </x:c>
      <x:c r="N58" s="282" t="str">
        <x:v>정의 확정; 정확한 최초 부여시점은 강한 추론</x:v>
      </x:c>
    </x:row>
    <x:row r="59" ht="56" customHeight="1">
      <x:c r="A59" s="274" t="n">
        <x:v>55</x:v>
      </x:c>
      <x:c r="B59" s="275" t="str">
        <x:v>application_type</x:v>
      </x:c>
      <x:c r="C59" s="276" t="str">
        <x:v>Indicates whether the loan is an individual application or a joint application with two co-borrowers</x:v>
      </x:c>
      <x:c r="D59" s="276" t="str">
        <x:v>차주 자기보고</x:v>
      </x:c>
      <x:c r="E59" s="287" t="str">
        <x:v>T0 신청서 입력·등록</x:v>
      </x:c>
      <x:c r="F59" s="276" t="str">
        <x:v>온라인 신청·등록 때 입력. listing 시점까지 전달되지만 일부 항목은 LC가 검증하지 않는다.</x:v>
      </x:c>
      <x:c r="G59" s="276" t="str">
        <x:v>원점 고정(신청/실행 시점)</x:v>
      </x:c>
      <x:c r="H59" s="279" t="str">
        <x:v>예</x:v>
      </x:c>
      <x:c r="I59" s="279" t="str">
        <x:v>예</x:v>
      </x:c>
      <x:c r="J59" s="285" t="str">
        <x:v>후보 Feature</x:v>
      </x:c>
      <x:c r="K59" s="276" t="str">
        <x:v>—</x:v>
      </x:c>
      <x:c r="L59" s="276" t="str">
        <x:v>시간누수 없음; 자기보고·검증범위 한계</x:v>
      </x:c>
      <x:c r="M59" s="281" t="str">
        <x:v>D1; S1; A1</x:v>
      </x:c>
      <x:c r="N59" s="282" t="str">
        <x:v>확정</x:v>
      </x:c>
    </x:row>
    <x:row r="60" ht="56" customHeight="1">
      <x:c r="A60" s="274" t="n">
        <x:v>56</x:v>
      </x:c>
      <x:c r="B60" s="275" t="str">
        <x:v>annual_inc_joint</x:v>
      </x:c>
      <x:c r="C60" s="276" t="str">
        <x:v>The combined self-reported annual income provided by the co-borrowers during registration</x:v>
      </x:c>
      <x:c r="D60" s="276" t="str">
        <x:v>공동차주 자기보고</x:v>
      </x:c>
      <x:c r="E60" s="287" t="str">
        <x:v>T0 신청서 입력·등록</x:v>
      </x:c>
      <x:c r="F60" s="276" t="str">
        <x:v>온라인 신청·등록 때 입력. listing 시점까지 전달되지만 일부 항목은 LC가 검증하지 않는다.</x:v>
      </x:c>
      <x:c r="G60" s="276" t="str">
        <x:v>원점 고정(신청/실행 시점)</x:v>
      </x:c>
      <x:c r="H60" s="279" t="str">
        <x:v>예</x:v>
      </x:c>
      <x:c r="I60" s="279" t="str">
        <x:v>예</x:v>
      </x:c>
      <x:c r="J60" s="285" t="str">
        <x:v>후보 Feature</x:v>
      </x:c>
      <x:c r="K60" s="276" t="str">
        <x:v>—</x:v>
      </x:c>
      <x:c r="L60" s="276" t="str">
        <x:v>시간누수 없음; 자기보고·검증범위 한계</x:v>
      </x:c>
      <x:c r="M60" s="281" t="str">
        <x:v>D1; S1; A1</x:v>
      </x:c>
      <x:c r="N60" s="282" t="str">
        <x:v>확정</x:v>
      </x:c>
    </x:row>
    <x:row r="61" ht="56" customHeight="1">
      <x:c r="A61" s="274" t="n">
        <x:v>57</x:v>
      </x:c>
      <x:c r="B61" s="275" t="str">
        <x:v>dti_joint</x:v>
      </x:c>
      <x:c r="C61" s="276" t="str">
        <x:v>A ratio calculated using the co-borrowers' total monthly payments on the total debt obligations, excluding mortgages and the requested LC loan, divided by the co-borrowers' combined self-reported monthly income</x:v>
      </x:c>
      <x:c r="D61" s="276" t="str">
        <x:v>LendingClub 계산(신청정보+신용정보)</x:v>
      </x:c>
      <x:c r="E61" s="290" t="str">
        <x:v>T1 신용조회·신청시점 파생</x:v>
      </x:c>
      <x:c r="F61" s="276" t="str">
        <x:v>신청 시점의 소득·월 부채상환액을 바탕으로 LC가 계산. 기존 의무 기준이며 요청 LC 대출은 정의상 제외된다.</x:v>
      </x:c>
      <x:c r="G61" s="276" t="str">
        <x:v>원점 고정(신청/실행 시점)</x:v>
      </x:c>
      <x:c r="H61" s="279" t="str">
        <x:v>예</x:v>
      </x:c>
      <x:c r="I61" s="279" t="str">
        <x:v>예</x:v>
      </x:c>
      <x:c r="J61" s="285" t="str">
        <x:v>후보 Feature</x:v>
      </x:c>
      <x:c r="K61" s="276" t="str">
        <x:v>—</x:v>
      </x:c>
      <x:c r="L61" s="276" t="str">
        <x:v>시간누수 없음(원점값 사용 전제); 결측은 '사건 없음'과 '미제공'을 구분</x:v>
      </x:c>
      <x:c r="M61" s="281" t="str">
        <x:v>D1; S1; A1</x:v>
      </x:c>
      <x:c r="N61" s="282" t="str">
        <x:v>확정</x:v>
      </x:c>
    </x:row>
    <x:row r="62" ht="56" customHeight="1">
      <x:c r="A62" s="274" t="n">
        <x:v>58</x:v>
      </x:c>
      <x:c r="B62" s="275" t="str">
        <x:v>verification_status_joint</x:v>
      </x:c>
      <x:c r="C62" s="276" t="str">
        <x:v>Indicates if the co-borrowers' joint income was verified by LC, not verified, or if the income source was verified</x:v>
      </x:c>
      <x:c r="D62" s="276" t="str">
        <x:v>LendingClub 검증 프로세스</x:v>
      </x:c>
      <x:c r="E62" s="283" t="str">
        <x:v>T2 심사·검증·가격책정</x:v>
      </x:c>
      <x:c r="F62" s="276" t="str">
        <x:v>소득/소득원 검증 과정의 상태. listing에서 투자자에게 표시되지만 strict 신청초기 모델에는 아직 없다.</x:v>
      </x:c>
      <x:c r="G62" s="276" t="str">
        <x:v>listing 전 확정</x:v>
      </x:c>
      <x:c r="H62" s="278" t="str">
        <x:v>아니오</x:v>
      </x:c>
      <x:c r="I62" s="279" t="str">
        <x:v>예</x:v>
      </x:c>
      <x:c r="J62" s="285" t="str">
        <x:v>후보 Feature</x:v>
      </x:c>
      <x:c r="K62" s="276" t="str">
        <x:v>—</x:v>
      </x:c>
      <x:c r="L62" s="276" t="str">
        <x:v>투자모델에는 가용; 신청초기 승인모델에는 사후 처리 결과</x:v>
      </x:c>
      <x:c r="M62" s="281" t="str">
        <x:v>D1; S1; A1</x:v>
      </x:c>
      <x:c r="N62" s="282" t="str">
        <x:v>확정</x:v>
      </x:c>
    </x:row>
    <x:row r="63" ht="56" customHeight="1">
      <x:c r="A63" s="274" t="n">
        <x:v>59</x:v>
      </x:c>
      <x:c r="B63" s="275" t="str">
        <x:v>acc_now_delinq</x:v>
      </x:c>
      <x:c r="C63" s="276" t="str">
        <x:v>The number of accounts on which the borrower is now delinquent.</x:v>
      </x:c>
      <x:c r="D63" s="276" t="str">
        <x:v>신용평가사 보고서(주 신청자)</x:v>
      </x:c>
      <x:c r="E63" s="290" t="str">
        <x:v>T1 신용조회·신청시점 파생</x:v>
      </x:c>
      <x:c r="F63" s="276" t="str">
        <x:v>신청 과정에서 조회한 신용보고서의 원점(origin) 지표. `last_*`와 달리 대출 후 갱신치가 아니다.</x:v>
      </x:c>
      <x:c r="G63" s="276" t="str">
        <x:v>원점 고정(신청/실행 시점)</x:v>
      </x:c>
      <x:c r="H63" s="279" t="str">
        <x:v>예</x:v>
      </x:c>
      <x:c r="I63" s="279" t="str">
        <x:v>예</x:v>
      </x:c>
      <x:c r="J63" s="285" t="str">
        <x:v>후보 Feature</x:v>
      </x:c>
      <x:c r="K63" s="276" t="str">
        <x:v>—</x:v>
      </x:c>
      <x:c r="L63" s="276" t="str">
        <x:v>시간누수 없음(원점값 사용 전제); 결측은 '사건 없음'과 '미제공'을 구분</x:v>
      </x:c>
      <x:c r="M63" s="281" t="str">
        <x:v>D1; S1; A1</x:v>
      </x:c>
      <x:c r="N63" s="282" t="str">
        <x:v>확정/강한 근거: 공식 정의 + listing 문서 + 신용정보 계열</x:v>
      </x:c>
    </x:row>
    <x:row r="64" ht="56" customHeight="1">
      <x:c r="A64" s="274" t="n">
        <x:v>60</x:v>
      </x:c>
      <x:c r="B64" s="275" t="str">
        <x:v>tot_coll_amt</x:v>
      </x:c>
      <x:c r="C64" s="276" t="str">
        <x:v>Total collection amounts ever owed</x:v>
      </x:c>
      <x:c r="D64" s="276" t="str">
        <x:v>신용평가사 보고서(주 신청자)</x:v>
      </x:c>
      <x:c r="E64" s="290" t="str">
        <x:v>T1 신용조회·신청시점 파생</x:v>
      </x:c>
      <x:c r="F64" s="276" t="str">
        <x:v>신청 과정에서 조회한 신용보고서의 원점(origin) 지표. `last_*`와 달리 대출 후 갱신치가 아니다.</x:v>
      </x:c>
      <x:c r="G64" s="276" t="str">
        <x:v>원점 고정(신청/실행 시점)</x:v>
      </x:c>
      <x:c r="H64" s="279" t="str">
        <x:v>예</x:v>
      </x:c>
      <x:c r="I64" s="279" t="str">
        <x:v>예</x:v>
      </x:c>
      <x:c r="J64" s="285" t="str">
        <x:v>후보 Feature</x:v>
      </x:c>
      <x:c r="K64" s="276" t="str">
        <x:v>—</x:v>
      </x:c>
      <x:c r="L64" s="276" t="str">
        <x:v>시간누수 없음(원점값 사용 전제); 결측은 '사건 없음'과 '미제공'을 구분</x:v>
      </x:c>
      <x:c r="M64" s="281" t="str">
        <x:v>D1; S1; A1</x:v>
      </x:c>
      <x:c r="N64" s="282" t="str">
        <x:v>확정/강한 근거: 공식 정의 + listing 문서 + 신용정보 계열</x:v>
      </x:c>
    </x:row>
    <x:row r="65" ht="56" customHeight="1">
      <x:c r="A65" s="274" t="n">
        <x:v>61</x:v>
      </x:c>
      <x:c r="B65" s="275" t="str">
        <x:v>tot_cur_bal</x:v>
      </x:c>
      <x:c r="C65" s="276" t="str">
        <x:v>Total current balance of all accounts</x:v>
      </x:c>
      <x:c r="D65" s="276" t="str">
        <x:v>신용평가사 보고서(주 신청자)</x:v>
      </x:c>
      <x:c r="E65" s="290" t="str">
        <x:v>T1 신용조회·신청시점 파생</x:v>
      </x:c>
      <x:c r="F65" s="276" t="str">
        <x:v>신청 과정에서 조회한 신용보고서의 원점(origin) 지표. `last_*`와 달리 대출 후 갱신치가 아니다.</x:v>
      </x:c>
      <x:c r="G65" s="276" t="str">
        <x:v>원점 고정(신청/실행 시점)</x:v>
      </x:c>
      <x:c r="H65" s="279" t="str">
        <x:v>예</x:v>
      </x:c>
      <x:c r="I65" s="279" t="str">
        <x:v>예</x:v>
      </x:c>
      <x:c r="J65" s="285" t="str">
        <x:v>후보 Feature</x:v>
      </x:c>
      <x:c r="K65" s="276" t="str">
        <x:v>—</x:v>
      </x:c>
      <x:c r="L65" s="276" t="str">
        <x:v>시간누수 없음(원점값 사용 전제); 결측은 '사건 없음'과 '미제공'을 구분</x:v>
      </x:c>
      <x:c r="M65" s="281" t="str">
        <x:v>D1; S1; A1</x:v>
      </x:c>
      <x:c r="N65" s="282" t="str">
        <x:v>확정/강한 근거: 공식 정의 + listing 문서 + 신용정보 계열</x:v>
      </x:c>
    </x:row>
    <x:row r="66" ht="56" customHeight="1">
      <x:c r="A66" s="274" t="n">
        <x:v>62</x:v>
      </x:c>
      <x:c r="B66" s="275" t="str">
        <x:v>open_acc_6m</x:v>
      </x:c>
      <x:c r="C66" s="276" t="str">
        <x:v>Number of open trades in last 6 months</x:v>
      </x:c>
      <x:c r="D66" s="276" t="str">
        <x:v>신용평가사 보고서(주 신청자)</x:v>
      </x:c>
      <x:c r="E66" s="290" t="str">
        <x:v>T1 신용조회·신청시점 파생</x:v>
      </x:c>
      <x:c r="F66" s="276" t="str">
        <x:v>신청 과정에서 조회한 신용보고서의 원점(origin) 지표. `last_*`와 달리 대출 후 갱신치가 아니다.</x:v>
      </x:c>
      <x:c r="G66" s="276" t="str">
        <x:v>원점 고정(신청/실행 시점)</x:v>
      </x:c>
      <x:c r="H66" s="279" t="str">
        <x:v>예</x:v>
      </x:c>
      <x:c r="I66" s="279" t="str">
        <x:v>예</x:v>
      </x:c>
      <x:c r="J66" s="285" t="str">
        <x:v>후보 Feature</x:v>
      </x:c>
      <x:c r="K66" s="276" t="str">
        <x:v>—</x:v>
      </x:c>
      <x:c r="L66" s="276" t="str">
        <x:v>시간누수 없음(원점값 사용 전제); 결측은 '사건 없음'과 '미제공'을 구분</x:v>
      </x:c>
      <x:c r="M66" s="281" t="str">
        <x:v>D1; S1; A1</x:v>
      </x:c>
      <x:c r="N66" s="282" t="str">
        <x:v>확정/강한 근거: 공식 정의 + listing 문서 + 신용정보 계열</x:v>
      </x:c>
    </x:row>
    <x:row r="67" ht="56" customHeight="1">
      <x:c r="A67" s="274" t="n">
        <x:v>63</x:v>
      </x:c>
      <x:c r="B67" s="275" t="str">
        <x:v>open_act_il</x:v>
      </x:c>
      <x:c r="C67" s="276" t="str">
        <x:v>Number of currently active installment trades</x:v>
      </x:c>
      <x:c r="D67" s="276" t="str">
        <x:v>신용평가사 보고서(주 신청자)</x:v>
      </x:c>
      <x:c r="E67" s="290" t="str">
        <x:v>T1 신용조회·신청시점 파생</x:v>
      </x:c>
      <x:c r="F67" s="276" t="str">
        <x:v>신청 과정에서 조회한 신용보고서의 원점(origin) 지표. `last_*`와 달리 대출 후 갱신치가 아니다.</x:v>
      </x:c>
      <x:c r="G67" s="276" t="str">
        <x:v>원점 고정(신청/실행 시점)</x:v>
      </x:c>
      <x:c r="H67" s="279" t="str">
        <x:v>예</x:v>
      </x:c>
      <x:c r="I67" s="279" t="str">
        <x:v>예</x:v>
      </x:c>
      <x:c r="J67" s="285" t="str">
        <x:v>후보 Feature</x:v>
      </x:c>
      <x:c r="K67" s="276" t="str">
        <x:v>—</x:v>
      </x:c>
      <x:c r="L67" s="276" t="str">
        <x:v>시간누수 없음(원점값 사용 전제); 결측은 '사건 없음'과 '미제공'을 구분</x:v>
      </x:c>
      <x:c r="M67" s="281" t="str">
        <x:v>D1; S1; A1</x:v>
      </x:c>
      <x:c r="N67" s="282" t="str">
        <x:v>확정/강한 근거: 공식 정의 + listing 문서 + 신용정보 계열</x:v>
      </x:c>
    </x:row>
    <x:row r="68" ht="56" customHeight="1">
      <x:c r="A68" s="274" t="n">
        <x:v>64</x:v>
      </x:c>
      <x:c r="B68" s="275" t="str">
        <x:v>open_il_12m</x:v>
      </x:c>
      <x:c r="C68" s="276" t="str">
        <x:v>Number of installment accounts opened in past 12 months</x:v>
      </x:c>
      <x:c r="D68" s="276" t="str">
        <x:v>신용평가사 보고서(주 신청자)</x:v>
      </x:c>
      <x:c r="E68" s="290" t="str">
        <x:v>T1 신용조회·신청시점 파생</x:v>
      </x:c>
      <x:c r="F68" s="276" t="str">
        <x:v>신청 과정에서 조회한 신용보고서의 원점(origin) 지표. `last_*`와 달리 대출 후 갱신치가 아니다.</x:v>
      </x:c>
      <x:c r="G68" s="276" t="str">
        <x:v>원점 고정(신청/실행 시점)</x:v>
      </x:c>
      <x:c r="H68" s="279" t="str">
        <x:v>예</x:v>
      </x:c>
      <x:c r="I68" s="279" t="str">
        <x:v>예</x:v>
      </x:c>
      <x:c r="J68" s="285" t="str">
        <x:v>후보 Feature</x:v>
      </x:c>
      <x:c r="K68" s="276" t="str">
        <x:v>—</x:v>
      </x:c>
      <x:c r="L68" s="276" t="str">
        <x:v>시간누수 없음(원점값 사용 전제); 결측은 '사건 없음'과 '미제공'을 구분</x:v>
      </x:c>
      <x:c r="M68" s="281" t="str">
        <x:v>D1; S1; A1</x:v>
      </x:c>
      <x:c r="N68" s="282" t="str">
        <x:v>확정/강한 근거: 공식 정의 + listing 문서 + 신용정보 계열</x:v>
      </x:c>
    </x:row>
    <x:row r="69" ht="56" customHeight="1">
      <x:c r="A69" s="274" t="n">
        <x:v>65</x:v>
      </x:c>
      <x:c r="B69" s="275" t="str">
        <x:v>open_il_24m</x:v>
      </x:c>
      <x:c r="C69" s="276" t="str">
        <x:v>Number of installment accounts opened in past 24 months</x:v>
      </x:c>
      <x:c r="D69" s="276" t="str">
        <x:v>신용평가사 보고서(주 신청자)</x:v>
      </x:c>
      <x:c r="E69" s="290" t="str">
        <x:v>T1 신용조회·신청시점 파생</x:v>
      </x:c>
      <x:c r="F69" s="276" t="str">
        <x:v>신청 과정에서 조회한 신용보고서의 원점(origin) 지표. `last_*`와 달리 대출 후 갱신치가 아니다.</x:v>
      </x:c>
      <x:c r="G69" s="276" t="str">
        <x:v>원점 고정(신청/실행 시점)</x:v>
      </x:c>
      <x:c r="H69" s="279" t="str">
        <x:v>예</x:v>
      </x:c>
      <x:c r="I69" s="279" t="str">
        <x:v>예</x:v>
      </x:c>
      <x:c r="J69" s="285" t="str">
        <x:v>후보 Feature</x:v>
      </x:c>
      <x:c r="K69" s="276" t="str">
        <x:v>—</x:v>
      </x:c>
      <x:c r="L69" s="276" t="str">
        <x:v>시간누수 없음(원점값 사용 전제); 결측은 '사건 없음'과 '미제공'을 구분</x:v>
      </x:c>
      <x:c r="M69" s="281" t="str">
        <x:v>D1; S1; A1</x:v>
      </x:c>
      <x:c r="N69" s="282" t="str">
        <x:v>확정/강한 근거: 공식 정의 + listing 문서 + 신용정보 계열</x:v>
      </x:c>
    </x:row>
    <x:row r="70" ht="56" customHeight="1">
      <x:c r="A70" s="274" t="n">
        <x:v>66</x:v>
      </x:c>
      <x:c r="B70" s="275" t="str">
        <x:v>mths_since_rcnt_il</x:v>
      </x:c>
      <x:c r="C70" s="276" t="str">
        <x:v>Months since most recent installment accounts opened</x:v>
      </x:c>
      <x:c r="D70" s="276" t="str">
        <x:v>신용평가사 보고서(주 신청자)</x:v>
      </x:c>
      <x:c r="E70" s="290" t="str">
        <x:v>T1 신용조회·신청시점 파생</x:v>
      </x:c>
      <x:c r="F70" s="276" t="str">
        <x:v>신청 과정에서 조회한 신용보고서의 원점(origin) 지표. `last_*`와 달리 대출 후 갱신치가 아니다.</x:v>
      </x:c>
      <x:c r="G70" s="276" t="str">
        <x:v>원점 고정(신청/실행 시점)</x:v>
      </x:c>
      <x:c r="H70" s="279" t="str">
        <x:v>예</x:v>
      </x:c>
      <x:c r="I70" s="279" t="str">
        <x:v>예</x:v>
      </x:c>
      <x:c r="J70" s="285" t="str">
        <x:v>후보 Feature</x:v>
      </x:c>
      <x:c r="K70" s="276" t="str">
        <x:v>—</x:v>
      </x:c>
      <x:c r="L70" s="276" t="str">
        <x:v>시간누수 없음(원점값 사용 전제); 결측은 '사건 없음'과 '미제공'을 구분</x:v>
      </x:c>
      <x:c r="M70" s="281" t="str">
        <x:v>D1; S1; A1</x:v>
      </x:c>
      <x:c r="N70" s="282" t="str">
        <x:v>확정/강한 근거: 공식 정의 + listing 문서 + 신용정보 계열</x:v>
      </x:c>
    </x:row>
    <x:row r="71" ht="56" customHeight="1">
      <x:c r="A71" s="274" t="n">
        <x:v>67</x:v>
      </x:c>
      <x:c r="B71" s="275" t="str">
        <x:v>total_bal_il</x:v>
      </x:c>
      <x:c r="C71" s="276" t="str">
        <x:v>Total current balance of all installment accounts</x:v>
      </x:c>
      <x:c r="D71" s="276" t="str">
        <x:v>신용평가사 보고서(주 신청자)</x:v>
      </x:c>
      <x:c r="E71" s="290" t="str">
        <x:v>T1 신용조회·신청시점 파생</x:v>
      </x:c>
      <x:c r="F71" s="276" t="str">
        <x:v>신청 과정에서 조회한 신용보고서의 원점(origin) 지표. `last_*`와 달리 대출 후 갱신치가 아니다.</x:v>
      </x:c>
      <x:c r="G71" s="276" t="str">
        <x:v>원점 고정(신청/실행 시점)</x:v>
      </x:c>
      <x:c r="H71" s="279" t="str">
        <x:v>예</x:v>
      </x:c>
      <x:c r="I71" s="279" t="str">
        <x:v>예</x:v>
      </x:c>
      <x:c r="J71" s="285" t="str">
        <x:v>후보 Feature</x:v>
      </x:c>
      <x:c r="K71" s="276" t="str">
        <x:v>—</x:v>
      </x:c>
      <x:c r="L71" s="276" t="str">
        <x:v>시간누수 없음(원점값 사용 전제); 결측은 '사건 없음'과 '미제공'을 구분</x:v>
      </x:c>
      <x:c r="M71" s="281" t="str">
        <x:v>D1; S1; A1</x:v>
      </x:c>
      <x:c r="N71" s="282" t="str">
        <x:v>확정/강한 근거: 공식 정의 + listing 문서 + 신용정보 계열</x:v>
      </x:c>
    </x:row>
    <x:row r="72" ht="56" customHeight="1">
      <x:c r="A72" s="274" t="n">
        <x:v>68</x:v>
      </x:c>
      <x:c r="B72" s="275" t="str">
        <x:v>il_util</x:v>
      </x:c>
      <x:c r="C72" s="276" t="str">
        <x:v>Ratio of total current balance to high credit/credit limit on all install acct</x:v>
      </x:c>
      <x:c r="D72" s="276" t="str">
        <x:v>신용평가사 보고서(주 신청자)</x:v>
      </x:c>
      <x:c r="E72" s="290" t="str">
        <x:v>T1 신용조회·신청시점 파생</x:v>
      </x:c>
      <x:c r="F72" s="276" t="str">
        <x:v>신청 과정에서 조회한 신용보고서의 원점(origin) 지표. `last_*`와 달리 대출 후 갱신치가 아니다.</x:v>
      </x:c>
      <x:c r="G72" s="276" t="str">
        <x:v>원점 고정(신청/실행 시점)</x:v>
      </x:c>
      <x:c r="H72" s="279" t="str">
        <x:v>예</x:v>
      </x:c>
      <x:c r="I72" s="279" t="str">
        <x:v>예</x:v>
      </x:c>
      <x:c r="J72" s="285" t="str">
        <x:v>후보 Feature</x:v>
      </x:c>
      <x:c r="K72" s="276" t="str">
        <x:v>—</x:v>
      </x:c>
      <x:c r="L72" s="276" t="str">
        <x:v>시간누수 없음(원점값 사용 전제); 결측은 '사건 없음'과 '미제공'을 구분</x:v>
      </x:c>
      <x:c r="M72" s="281" t="str">
        <x:v>D1; S1; A1</x:v>
      </x:c>
      <x:c r="N72" s="282" t="str">
        <x:v>확정/강한 근거: 공식 정의 + listing 문서 + 신용정보 계열</x:v>
      </x:c>
    </x:row>
    <x:row r="73" ht="56" customHeight="1">
      <x:c r="A73" s="274" t="n">
        <x:v>69</x:v>
      </x:c>
      <x:c r="B73" s="275" t="str">
        <x:v>open_rv_12m</x:v>
      </x:c>
      <x:c r="C73" s="276" t="str">
        <x:v>Number of revolving trades opened in past 12 months</x:v>
      </x:c>
      <x:c r="D73" s="276" t="str">
        <x:v>신용평가사 보고서(주 신청자)</x:v>
      </x:c>
      <x:c r="E73" s="290" t="str">
        <x:v>T1 신용조회·신청시점 파생</x:v>
      </x:c>
      <x:c r="F73" s="276" t="str">
        <x:v>신청 과정에서 조회한 신용보고서의 원점(origin) 지표. `last_*`와 달리 대출 후 갱신치가 아니다.</x:v>
      </x:c>
      <x:c r="G73" s="276" t="str">
        <x:v>원점 고정(신청/실행 시점)</x:v>
      </x:c>
      <x:c r="H73" s="279" t="str">
        <x:v>예</x:v>
      </x:c>
      <x:c r="I73" s="279" t="str">
        <x:v>예</x:v>
      </x:c>
      <x:c r="J73" s="285" t="str">
        <x:v>후보 Feature</x:v>
      </x:c>
      <x:c r="K73" s="276" t="str">
        <x:v>—</x:v>
      </x:c>
      <x:c r="L73" s="276" t="str">
        <x:v>시간누수 없음(원점값 사용 전제); 결측은 '사건 없음'과 '미제공'을 구분</x:v>
      </x:c>
      <x:c r="M73" s="281" t="str">
        <x:v>D1; S1; A1</x:v>
      </x:c>
      <x:c r="N73" s="282" t="str">
        <x:v>확정/강한 근거: 공식 정의 + listing 문서 + 신용정보 계열</x:v>
      </x:c>
    </x:row>
    <x:row r="74" ht="56" customHeight="1">
      <x:c r="A74" s="274" t="n">
        <x:v>70</x:v>
      </x:c>
      <x:c r="B74" s="275" t="str">
        <x:v>open_rv_24m</x:v>
      </x:c>
      <x:c r="C74" s="276" t="str">
        <x:v>Number of revolving trades opened in past 24 months</x:v>
      </x:c>
      <x:c r="D74" s="276" t="str">
        <x:v>신용평가사 보고서(주 신청자)</x:v>
      </x:c>
      <x:c r="E74" s="290" t="str">
        <x:v>T1 신용조회·신청시점 파생</x:v>
      </x:c>
      <x:c r="F74" s="276" t="str">
        <x:v>신청 과정에서 조회한 신용보고서의 원점(origin) 지표. `last_*`와 달리 대출 후 갱신치가 아니다.</x:v>
      </x:c>
      <x:c r="G74" s="276" t="str">
        <x:v>원점 고정(신청/실행 시점)</x:v>
      </x:c>
      <x:c r="H74" s="279" t="str">
        <x:v>예</x:v>
      </x:c>
      <x:c r="I74" s="279" t="str">
        <x:v>예</x:v>
      </x:c>
      <x:c r="J74" s="285" t="str">
        <x:v>후보 Feature</x:v>
      </x:c>
      <x:c r="K74" s="276" t="str">
        <x:v>—</x:v>
      </x:c>
      <x:c r="L74" s="276" t="str">
        <x:v>시간누수 없음(원점값 사용 전제); 결측은 '사건 없음'과 '미제공'을 구분</x:v>
      </x:c>
      <x:c r="M74" s="281" t="str">
        <x:v>D1; S1; A1</x:v>
      </x:c>
      <x:c r="N74" s="282" t="str">
        <x:v>확정/강한 근거: 공식 정의 + listing 문서 + 신용정보 계열</x:v>
      </x:c>
    </x:row>
    <x:row r="75" ht="56" customHeight="1">
      <x:c r="A75" s="274" t="n">
        <x:v>71</x:v>
      </x:c>
      <x:c r="B75" s="275" t="str">
        <x:v>max_bal_bc</x:v>
      </x:c>
      <x:c r="C75" s="276" t="str">
        <x:v>Maximum current balance owed on all revolving accounts</x:v>
      </x:c>
      <x:c r="D75" s="276" t="str">
        <x:v>신용평가사 보고서(주 신청자)</x:v>
      </x:c>
      <x:c r="E75" s="290" t="str">
        <x:v>T1 신용조회·신청시점 파생</x:v>
      </x:c>
      <x:c r="F75" s="276" t="str">
        <x:v>신청 과정에서 조회한 신용보고서의 원점(origin) 지표. `last_*`와 달리 대출 후 갱신치가 아니다.</x:v>
      </x:c>
      <x:c r="G75" s="276" t="str">
        <x:v>원점 고정(신청/실행 시점)</x:v>
      </x:c>
      <x:c r="H75" s="279" t="str">
        <x:v>예</x:v>
      </x:c>
      <x:c r="I75" s="279" t="str">
        <x:v>예</x:v>
      </x:c>
      <x:c r="J75" s="285" t="str">
        <x:v>후보 Feature</x:v>
      </x:c>
      <x:c r="K75" s="276" t="str">
        <x:v>—</x:v>
      </x:c>
      <x:c r="L75" s="276" t="str">
        <x:v>시간누수 없음(원점값 사용 전제); 결측은 '사건 없음'과 '미제공'을 구분</x:v>
      </x:c>
      <x:c r="M75" s="281" t="str">
        <x:v>D1; S1; A1</x:v>
      </x:c>
      <x:c r="N75" s="282" t="str">
        <x:v>확정/강한 근거: 공식 정의 + listing 문서 + 신용정보 계열</x:v>
      </x:c>
    </x:row>
    <x:row r="76" ht="56" customHeight="1">
      <x:c r="A76" s="274" t="n">
        <x:v>72</x:v>
      </x:c>
      <x:c r="B76" s="275" t="str">
        <x:v>all_util</x:v>
      </x:c>
      <x:c r="C76" s="276" t="str">
        <x:v>Balance to credit limit on all trades</x:v>
      </x:c>
      <x:c r="D76" s="276" t="str">
        <x:v>신용평가사 보고서(주 신청자)</x:v>
      </x:c>
      <x:c r="E76" s="290" t="str">
        <x:v>T1 신용조회·신청시점 파생</x:v>
      </x:c>
      <x:c r="F76" s="276" t="str">
        <x:v>신청 과정에서 조회한 신용보고서의 원점(origin) 지표. `last_*`와 달리 대출 후 갱신치가 아니다.</x:v>
      </x:c>
      <x:c r="G76" s="276" t="str">
        <x:v>원점 고정(신청/실행 시점)</x:v>
      </x:c>
      <x:c r="H76" s="279" t="str">
        <x:v>예</x:v>
      </x:c>
      <x:c r="I76" s="279" t="str">
        <x:v>예</x:v>
      </x:c>
      <x:c r="J76" s="285" t="str">
        <x:v>후보 Feature</x:v>
      </x:c>
      <x:c r="K76" s="276" t="str">
        <x:v>—</x:v>
      </x:c>
      <x:c r="L76" s="276" t="str">
        <x:v>시간누수 없음(원점값 사용 전제); 결측은 '사건 없음'과 '미제공'을 구분</x:v>
      </x:c>
      <x:c r="M76" s="281" t="str">
        <x:v>D1; S1; A1</x:v>
      </x:c>
      <x:c r="N76" s="282" t="str">
        <x:v>확정/강한 근거: 공식 정의 + listing 문서 + 신용정보 계열</x:v>
      </x:c>
    </x:row>
    <x:row r="77" ht="56" customHeight="1">
      <x:c r="A77" s="274" t="n">
        <x:v>73</x:v>
      </x:c>
      <x:c r="B77" s="275" t="str">
        <x:v>total_rev_hi_lim</x:v>
      </x:c>
      <x:c r="C77" s="276" t="str">
        <x:v>Total revolving high credit/credit limit</x:v>
      </x:c>
      <x:c r="D77" s="276" t="str">
        <x:v>신용평가사 보고서(주 신청자)</x:v>
      </x:c>
      <x:c r="E77" s="290" t="str">
        <x:v>T1 신용조회·신청시점 파생</x:v>
      </x:c>
      <x:c r="F77" s="276" t="str">
        <x:v>신청 과정에서 조회한 신용보고서의 원점(origin) 지표. `last_*`와 달리 대출 후 갱신치가 아니다.</x:v>
      </x:c>
      <x:c r="G77" s="276" t="str">
        <x:v>원점 고정(신청/실행 시점)</x:v>
      </x:c>
      <x:c r="H77" s="279" t="str">
        <x:v>예</x:v>
      </x:c>
      <x:c r="I77" s="279" t="str">
        <x:v>예</x:v>
      </x:c>
      <x:c r="J77" s="285" t="str">
        <x:v>후보 Feature</x:v>
      </x:c>
      <x:c r="K77" s="276" t="str">
        <x:v>—</x:v>
      </x:c>
      <x:c r="L77" s="276" t="str">
        <x:v>시간누수 없음(원점값 사용 전제); 결측은 '사건 없음'과 '미제공'을 구분</x:v>
      </x:c>
      <x:c r="M77" s="281" t="str">
        <x:v>D1; S1; A1</x:v>
      </x:c>
      <x:c r="N77" s="282" t="str">
        <x:v>확정/강한 근거: 공식 정의 + listing 문서 + 신용정보 계열</x:v>
      </x:c>
    </x:row>
    <x:row r="78" ht="56" customHeight="1">
      <x:c r="A78" s="274" t="n">
        <x:v>74</x:v>
      </x:c>
      <x:c r="B78" s="275" t="str">
        <x:v>inq_fi</x:v>
      </x:c>
      <x:c r="C78" s="276" t="str">
        <x:v>Number of personal finance inquiries</x:v>
      </x:c>
      <x:c r="D78" s="276" t="str">
        <x:v>신용평가사 보고서(주 신청자)</x:v>
      </x:c>
      <x:c r="E78" s="290" t="str">
        <x:v>T1 신용조회·신청시점 파생</x:v>
      </x:c>
      <x:c r="F78" s="276" t="str">
        <x:v>신청 과정에서 조회한 신용보고서의 원점(origin) 지표. `last_*`와 달리 대출 후 갱신치가 아니다.</x:v>
      </x:c>
      <x:c r="G78" s="276" t="str">
        <x:v>원점 고정(신청/실행 시점)</x:v>
      </x:c>
      <x:c r="H78" s="279" t="str">
        <x:v>예</x:v>
      </x:c>
      <x:c r="I78" s="279" t="str">
        <x:v>예</x:v>
      </x:c>
      <x:c r="J78" s="285" t="str">
        <x:v>후보 Feature</x:v>
      </x:c>
      <x:c r="K78" s="276" t="str">
        <x:v>—</x:v>
      </x:c>
      <x:c r="L78" s="276" t="str">
        <x:v>시간누수 없음(원점값 사용 전제); 결측은 '사건 없음'과 '미제공'을 구분</x:v>
      </x:c>
      <x:c r="M78" s="281" t="str">
        <x:v>D1; S1; A1</x:v>
      </x:c>
      <x:c r="N78" s="282" t="str">
        <x:v>확정/강한 근거: 공식 정의 + listing 문서 + 신용정보 계열</x:v>
      </x:c>
    </x:row>
    <x:row r="79" ht="56" customHeight="1">
      <x:c r="A79" s="274" t="n">
        <x:v>75</x:v>
      </x:c>
      <x:c r="B79" s="275" t="str">
        <x:v>total_cu_tl</x:v>
      </x:c>
      <x:c r="C79" s="276" t="str">
        <x:v>Number of finance trades</x:v>
      </x:c>
      <x:c r="D79" s="276" t="str">
        <x:v>신용평가사 보고서(주 신청자)</x:v>
      </x:c>
      <x:c r="E79" s="290" t="str">
        <x:v>T1 신용조회·신청시점 파생</x:v>
      </x:c>
      <x:c r="F79" s="276" t="str">
        <x:v>신청 과정에서 조회한 신용보고서의 원점(origin) 지표. `last_*`와 달리 대출 후 갱신치가 아니다.</x:v>
      </x:c>
      <x:c r="G79" s="276" t="str">
        <x:v>원점 고정(신청/실행 시점)</x:v>
      </x:c>
      <x:c r="H79" s="279" t="str">
        <x:v>예</x:v>
      </x:c>
      <x:c r="I79" s="279" t="str">
        <x:v>예</x:v>
      </x:c>
      <x:c r="J79" s="285" t="str">
        <x:v>후보 Feature</x:v>
      </x:c>
      <x:c r="K79" s="276" t="str">
        <x:v>—</x:v>
      </x:c>
      <x:c r="L79" s="276" t="str">
        <x:v>시간누수 없음(원점값 사용 전제); 결측은 '사건 없음'과 '미제공'을 구분</x:v>
      </x:c>
      <x:c r="M79" s="281" t="str">
        <x:v>D1; S1; A1</x:v>
      </x:c>
      <x:c r="N79" s="282" t="str">
        <x:v>확정/강한 근거: 공식 정의 + listing 문서 + 신용정보 계열</x:v>
      </x:c>
    </x:row>
    <x:row r="80" ht="56" customHeight="1">
      <x:c r="A80" s="274" t="n">
        <x:v>76</x:v>
      </x:c>
      <x:c r="B80" s="275" t="str">
        <x:v>inq_last_12m</x:v>
      </x:c>
      <x:c r="C80" s="276" t="str">
        <x:v>Number of credit inquiries in past 12 months</x:v>
      </x:c>
      <x:c r="D80" s="276" t="str">
        <x:v>신용평가사 보고서(주 신청자)</x:v>
      </x:c>
      <x:c r="E80" s="290" t="str">
        <x:v>T1 신용조회·신청시점 파생</x:v>
      </x:c>
      <x:c r="F80" s="276" t="str">
        <x:v>신청 과정에서 조회한 신용보고서의 원점(origin) 지표. `last_*`와 달리 대출 후 갱신치가 아니다.</x:v>
      </x:c>
      <x:c r="G80" s="276" t="str">
        <x:v>원점 고정(신청/실행 시점)</x:v>
      </x:c>
      <x:c r="H80" s="279" t="str">
        <x:v>예</x:v>
      </x:c>
      <x:c r="I80" s="279" t="str">
        <x:v>예</x:v>
      </x:c>
      <x:c r="J80" s="285" t="str">
        <x:v>후보 Feature</x:v>
      </x:c>
      <x:c r="K80" s="276" t="str">
        <x:v>—</x:v>
      </x:c>
      <x:c r="L80" s="276" t="str">
        <x:v>시간누수 없음(원점값 사용 전제); 결측은 '사건 없음'과 '미제공'을 구분</x:v>
      </x:c>
      <x:c r="M80" s="281" t="str">
        <x:v>D1; S1; A1</x:v>
      </x:c>
      <x:c r="N80" s="282" t="str">
        <x:v>확정/강한 근거: 공식 정의 + listing 문서 + 신용정보 계열</x:v>
      </x:c>
    </x:row>
    <x:row r="81" ht="56" customHeight="1">
      <x:c r="A81" s="274" t="n">
        <x:v>77</x:v>
      </x:c>
      <x:c r="B81" s="275" t="str">
        <x:v>acc_open_past_24mths</x:v>
      </x:c>
      <x:c r="C81" s="276" t="str">
        <x:v>Number of trades opened in past 24 months.</x:v>
      </x:c>
      <x:c r="D81" s="276" t="str">
        <x:v>신용평가사 보고서(주 신청자)</x:v>
      </x:c>
      <x:c r="E81" s="290" t="str">
        <x:v>T1 신용조회·신청시점 파생</x:v>
      </x:c>
      <x:c r="F81" s="276" t="str">
        <x:v>신청 과정에서 조회한 신용보고서의 원점(origin) 지표. `last_*`와 달리 대출 후 갱신치가 아니다.</x:v>
      </x:c>
      <x:c r="G81" s="276" t="str">
        <x:v>원점 고정(신청/실행 시점)</x:v>
      </x:c>
      <x:c r="H81" s="279" t="str">
        <x:v>예</x:v>
      </x:c>
      <x:c r="I81" s="279" t="str">
        <x:v>예</x:v>
      </x:c>
      <x:c r="J81" s="285" t="str">
        <x:v>후보 Feature</x:v>
      </x:c>
      <x:c r="K81" s="276" t="str">
        <x:v>—</x:v>
      </x:c>
      <x:c r="L81" s="276" t="str">
        <x:v>시간누수 없음(원점값 사용 전제); 결측은 '사건 없음'과 '미제공'을 구분</x:v>
      </x:c>
      <x:c r="M81" s="281" t="str">
        <x:v>D1; S1; A1</x:v>
      </x:c>
      <x:c r="N81" s="282" t="str">
        <x:v>확정/강한 근거: 공식 정의 + listing 문서 + 신용정보 계열</x:v>
      </x:c>
    </x:row>
    <x:row r="82" ht="56" customHeight="1">
      <x:c r="A82" s="274" t="n">
        <x:v>78</x:v>
      </x:c>
      <x:c r="B82" s="275" t="str">
        <x:v>avg_cur_bal</x:v>
      </x:c>
      <x:c r="C82" s="276" t="str">
        <x:v>Average current balance of all accounts</x:v>
      </x:c>
      <x:c r="D82" s="276" t="str">
        <x:v>신용평가사 보고서(주 신청자)</x:v>
      </x:c>
      <x:c r="E82" s="290" t="str">
        <x:v>T1 신용조회·신청시점 파생</x:v>
      </x:c>
      <x:c r="F82" s="276" t="str">
        <x:v>신청 과정에서 조회한 신용보고서의 원점(origin) 지표. `last_*`와 달리 대출 후 갱신치가 아니다.</x:v>
      </x:c>
      <x:c r="G82" s="276" t="str">
        <x:v>원점 고정(신청/실행 시점)</x:v>
      </x:c>
      <x:c r="H82" s="279" t="str">
        <x:v>예</x:v>
      </x:c>
      <x:c r="I82" s="279" t="str">
        <x:v>예</x:v>
      </x:c>
      <x:c r="J82" s="285" t="str">
        <x:v>후보 Feature</x:v>
      </x:c>
      <x:c r="K82" s="276" t="str">
        <x:v>—</x:v>
      </x:c>
      <x:c r="L82" s="276" t="str">
        <x:v>시간누수 없음(원점값 사용 전제); 결측은 '사건 없음'과 '미제공'을 구분</x:v>
      </x:c>
      <x:c r="M82" s="281" t="str">
        <x:v>D1; S1; A1</x:v>
      </x:c>
      <x:c r="N82" s="282" t="str">
        <x:v>확정/강한 근거: 공식 정의 + listing 문서 + 신용정보 계열</x:v>
      </x:c>
    </x:row>
    <x:row r="83" ht="56" customHeight="1">
      <x:c r="A83" s="274" t="n">
        <x:v>79</x:v>
      </x:c>
      <x:c r="B83" s="275" t="str">
        <x:v>bc_open_to_buy</x:v>
      </x:c>
      <x:c r="C83" s="276" t="str">
        <x:v>Total open to buy on revolving bankcards.</x:v>
      </x:c>
      <x:c r="D83" s="276" t="str">
        <x:v>신용평가사 보고서(주 신청자)</x:v>
      </x:c>
      <x:c r="E83" s="290" t="str">
        <x:v>T1 신용조회·신청시점 파생</x:v>
      </x:c>
      <x:c r="F83" s="276" t="str">
        <x:v>신청 과정에서 조회한 신용보고서의 원점(origin) 지표. `last_*`와 달리 대출 후 갱신치가 아니다.</x:v>
      </x:c>
      <x:c r="G83" s="276" t="str">
        <x:v>원점 고정(신청/실행 시점)</x:v>
      </x:c>
      <x:c r="H83" s="279" t="str">
        <x:v>예</x:v>
      </x:c>
      <x:c r="I83" s="279" t="str">
        <x:v>예</x:v>
      </x:c>
      <x:c r="J83" s="285" t="str">
        <x:v>후보 Feature</x:v>
      </x:c>
      <x:c r="K83" s="276" t="str">
        <x:v>—</x:v>
      </x:c>
      <x:c r="L83" s="276" t="str">
        <x:v>시간누수 없음(원점값 사용 전제); 결측은 '사건 없음'과 '미제공'을 구분</x:v>
      </x:c>
      <x:c r="M83" s="281" t="str">
        <x:v>D1; S1; A1</x:v>
      </x:c>
      <x:c r="N83" s="282" t="str">
        <x:v>확정/강한 근거: 공식 정의 + listing 문서 + 신용정보 계열</x:v>
      </x:c>
    </x:row>
    <x:row r="84" ht="56" customHeight="1">
      <x:c r="A84" s="274" t="n">
        <x:v>80</x:v>
      </x:c>
      <x:c r="B84" s="275" t="str">
        <x:v>bc_util</x:v>
      </x:c>
      <x:c r="C84" s="276" t="str">
        <x:v>Ratio of total current balance to high credit/credit limit for all bankcard accounts.</x:v>
      </x:c>
      <x:c r="D84" s="276" t="str">
        <x:v>신용평가사 보고서(주 신청자)</x:v>
      </x:c>
      <x:c r="E84" s="290" t="str">
        <x:v>T1 신용조회·신청시점 파생</x:v>
      </x:c>
      <x:c r="F84" s="276" t="str">
        <x:v>신청 과정에서 조회한 신용보고서의 원점(origin) 지표. `last_*`와 달리 대출 후 갱신치가 아니다.</x:v>
      </x:c>
      <x:c r="G84" s="276" t="str">
        <x:v>원점 고정(신청/실행 시점)</x:v>
      </x:c>
      <x:c r="H84" s="279" t="str">
        <x:v>예</x:v>
      </x:c>
      <x:c r="I84" s="279" t="str">
        <x:v>예</x:v>
      </x:c>
      <x:c r="J84" s="285" t="str">
        <x:v>후보 Feature</x:v>
      </x:c>
      <x:c r="K84" s="276" t="str">
        <x:v>—</x:v>
      </x:c>
      <x:c r="L84" s="276" t="str">
        <x:v>시간누수 없음(원점값 사용 전제); 결측은 '사건 없음'과 '미제공'을 구분</x:v>
      </x:c>
      <x:c r="M84" s="281" t="str">
        <x:v>D1; S1; A1</x:v>
      </x:c>
      <x:c r="N84" s="282" t="str">
        <x:v>확정/강한 근거: 공식 정의 + listing 문서 + 신용정보 계열</x:v>
      </x:c>
    </x:row>
    <x:row r="85" ht="56" customHeight="1">
      <x:c r="A85" s="274" t="n">
        <x:v>81</x:v>
      </x:c>
      <x:c r="B85" s="275" t="str">
        <x:v>chargeoff_within_12_mths</x:v>
      </x:c>
      <x:c r="C85" s="276" t="str">
        <x:v>Number of charge-offs within 12 months</x:v>
      </x:c>
      <x:c r="D85" s="276" t="str">
        <x:v>신용평가사 보고서(주 신청자)</x:v>
      </x:c>
      <x:c r="E85" s="290" t="str">
        <x:v>T1 신용조회·신청시점 파생</x:v>
      </x:c>
      <x:c r="F85" s="276" t="str">
        <x:v>신청 당시 기존 신용계정의 연체·charge-off·collection 정보다. 이 LendingClub 대출의 사후 결과가 아니다.</x:v>
      </x:c>
      <x:c r="G85" s="276" t="str">
        <x:v>원점 고정(신청/실행 시점)</x:v>
      </x:c>
      <x:c r="H85" s="279" t="str">
        <x:v>예</x:v>
      </x:c>
      <x:c r="I85" s="279" t="str">
        <x:v>예</x:v>
      </x:c>
      <x:c r="J85" s="285" t="str">
        <x:v>후보 Feature</x:v>
      </x:c>
      <x:c r="K85" s="276" t="str">
        <x:v>—</x:v>
      </x:c>
      <x:c r="L85" s="276" t="str">
        <x:v>시간누수 없음(원점값 사용 전제); 결측은 '사건 없음'과 '미제공'을 구분</x:v>
      </x:c>
      <x:c r="M85" s="281" t="str">
        <x:v>D1; S1; A1</x:v>
      </x:c>
      <x:c r="N85" s="282" t="str">
        <x:v>확정/강한 근거: 공식 정의 + listing 문서 + 신용정보 계열</x:v>
      </x:c>
    </x:row>
    <x:row r="86" ht="56" customHeight="1">
      <x:c r="A86" s="274" t="n">
        <x:v>82</x:v>
      </x:c>
      <x:c r="B86" s="275" t="str">
        <x:v>delinq_amnt</x:v>
      </x:c>
      <x:c r="C86" s="276" t="str">
        <x:v>The past-due amount owed for the accounts on which the borrower is now delinquent.</x:v>
      </x:c>
      <x:c r="D86" s="276" t="str">
        <x:v>신용평가사 보고서(주 신청자)</x:v>
      </x:c>
      <x:c r="E86" s="290" t="str">
        <x:v>T1 신용조회·신청시점 파생</x:v>
      </x:c>
      <x:c r="F86" s="276" t="str">
        <x:v>신청 당시 기존 신용계정의 연체·charge-off·collection 정보다. 이 LendingClub 대출의 사후 결과가 아니다.</x:v>
      </x:c>
      <x:c r="G86" s="276" t="str">
        <x:v>원점 고정(신청/실행 시점)</x:v>
      </x:c>
      <x:c r="H86" s="279" t="str">
        <x:v>예</x:v>
      </x:c>
      <x:c r="I86" s="279" t="str">
        <x:v>예</x:v>
      </x:c>
      <x:c r="J86" s="285" t="str">
        <x:v>후보 Feature</x:v>
      </x:c>
      <x:c r="K86" s="276" t="str">
        <x:v>—</x:v>
      </x:c>
      <x:c r="L86" s="276" t="str">
        <x:v>시간누수 없음(원점값 사용 전제); 결측은 '사건 없음'과 '미제공'을 구분</x:v>
      </x:c>
      <x:c r="M86" s="281" t="str">
        <x:v>D1; S1; A1</x:v>
      </x:c>
      <x:c r="N86" s="282" t="str">
        <x:v>확정/강한 근거: 공식 정의 + listing 문서 + 신용정보 계열</x:v>
      </x:c>
    </x:row>
    <x:row r="87" ht="56" customHeight="1">
      <x:c r="A87" s="274" t="n">
        <x:v>83</x:v>
      </x:c>
      <x:c r="B87" s="275" t="str">
        <x:v>mo_sin_old_il_acct</x:v>
      </x:c>
      <x:c r="C87" s="276" t="str">
        <x:v>Months since oldest bank installment account opened</x:v>
      </x:c>
      <x:c r="D87" s="276" t="str">
        <x:v>신용평가사 보고서(주 신청자)</x:v>
      </x:c>
      <x:c r="E87" s="290" t="str">
        <x:v>T1 신용조회·신청시점 파생</x:v>
      </x:c>
      <x:c r="F87" s="276" t="str">
        <x:v>신청 과정에서 조회한 신용보고서의 원점(origin) 지표. `last_*`와 달리 대출 후 갱신치가 아니다.</x:v>
      </x:c>
      <x:c r="G87" s="276" t="str">
        <x:v>원점 고정(신청/실행 시점)</x:v>
      </x:c>
      <x:c r="H87" s="279" t="str">
        <x:v>예</x:v>
      </x:c>
      <x:c r="I87" s="279" t="str">
        <x:v>예</x:v>
      </x:c>
      <x:c r="J87" s="285" t="str">
        <x:v>후보 Feature</x:v>
      </x:c>
      <x:c r="K87" s="276" t="str">
        <x:v>—</x:v>
      </x:c>
      <x:c r="L87" s="276" t="str">
        <x:v>시간누수 없음(원점값 사용 전제); 결측은 '사건 없음'과 '미제공'을 구분</x:v>
      </x:c>
      <x:c r="M87" s="281" t="str">
        <x:v>D1; S1; A1</x:v>
      </x:c>
      <x:c r="N87" s="282" t="str">
        <x:v>확정/강한 근거: 공식 정의 + listing 문서 + 신용정보 계열</x:v>
      </x:c>
    </x:row>
    <x:row r="88" ht="56" customHeight="1">
      <x:c r="A88" s="274" t="n">
        <x:v>84</x:v>
      </x:c>
      <x:c r="B88" s="275" t="str">
        <x:v>mo_sin_old_rev_tl_op</x:v>
      </x:c>
      <x:c r="C88" s="276" t="str">
        <x:v>Months since oldest revolving account opened</x:v>
      </x:c>
      <x:c r="D88" s="276" t="str">
        <x:v>신용평가사 보고서(주 신청자)</x:v>
      </x:c>
      <x:c r="E88" s="290" t="str">
        <x:v>T1 신용조회·신청시점 파생</x:v>
      </x:c>
      <x:c r="F88" s="276" t="str">
        <x:v>신청 과정에서 조회한 신용보고서의 원점(origin) 지표. `last_*`와 달리 대출 후 갱신치가 아니다.</x:v>
      </x:c>
      <x:c r="G88" s="276" t="str">
        <x:v>원점 고정(신청/실행 시점)</x:v>
      </x:c>
      <x:c r="H88" s="279" t="str">
        <x:v>예</x:v>
      </x:c>
      <x:c r="I88" s="279" t="str">
        <x:v>예</x:v>
      </x:c>
      <x:c r="J88" s="285" t="str">
        <x:v>후보 Feature</x:v>
      </x:c>
      <x:c r="K88" s="276" t="str">
        <x:v>—</x:v>
      </x:c>
      <x:c r="L88" s="276" t="str">
        <x:v>시간누수 없음(원점값 사용 전제); 결측은 '사건 없음'과 '미제공'을 구분</x:v>
      </x:c>
      <x:c r="M88" s="281" t="str">
        <x:v>D1; S1; A1</x:v>
      </x:c>
      <x:c r="N88" s="282" t="str">
        <x:v>확정/강한 근거: 공식 정의 + listing 문서 + 신용정보 계열</x:v>
      </x:c>
    </x:row>
    <x:row r="89" ht="56" customHeight="1">
      <x:c r="A89" s="274" t="n">
        <x:v>85</x:v>
      </x:c>
      <x:c r="B89" s="275" t="str">
        <x:v>mo_sin_rcnt_rev_tl_op</x:v>
      </x:c>
      <x:c r="C89" s="276" t="str">
        <x:v>Months since most recent revolving account opened</x:v>
      </x:c>
      <x:c r="D89" s="276" t="str">
        <x:v>신용평가사 보고서(주 신청자)</x:v>
      </x:c>
      <x:c r="E89" s="290" t="str">
        <x:v>T1 신용조회·신청시점 파생</x:v>
      </x:c>
      <x:c r="F89" s="276" t="str">
        <x:v>신청 과정에서 조회한 신용보고서의 원점(origin) 지표. `last_*`와 달리 대출 후 갱신치가 아니다.</x:v>
      </x:c>
      <x:c r="G89" s="276" t="str">
        <x:v>원점 고정(신청/실행 시점)</x:v>
      </x:c>
      <x:c r="H89" s="279" t="str">
        <x:v>예</x:v>
      </x:c>
      <x:c r="I89" s="279" t="str">
        <x:v>예</x:v>
      </x:c>
      <x:c r="J89" s="285" t="str">
        <x:v>후보 Feature</x:v>
      </x:c>
      <x:c r="K89" s="276" t="str">
        <x:v>—</x:v>
      </x:c>
      <x:c r="L89" s="276" t="str">
        <x:v>시간누수 없음(원점값 사용 전제); 결측은 '사건 없음'과 '미제공'을 구분</x:v>
      </x:c>
      <x:c r="M89" s="281" t="str">
        <x:v>D1; S1; A1</x:v>
      </x:c>
      <x:c r="N89" s="282" t="str">
        <x:v>확정/강한 근거: 공식 정의 + listing 문서 + 신용정보 계열</x:v>
      </x:c>
    </x:row>
    <x:row r="90" ht="56" customHeight="1">
      <x:c r="A90" s="274" t="n">
        <x:v>86</x:v>
      </x:c>
      <x:c r="B90" s="275" t="str">
        <x:v>mo_sin_rcnt_tl</x:v>
      </x:c>
      <x:c r="C90" s="276" t="str">
        <x:v>Months since most recent account opened</x:v>
      </x:c>
      <x:c r="D90" s="276" t="str">
        <x:v>신용평가사 보고서(주 신청자)</x:v>
      </x:c>
      <x:c r="E90" s="290" t="str">
        <x:v>T1 신용조회·신청시점 파생</x:v>
      </x:c>
      <x:c r="F90" s="276" t="str">
        <x:v>신청 과정에서 조회한 신용보고서의 원점(origin) 지표. `last_*`와 달리 대출 후 갱신치가 아니다.</x:v>
      </x:c>
      <x:c r="G90" s="276" t="str">
        <x:v>원점 고정(신청/실행 시점)</x:v>
      </x:c>
      <x:c r="H90" s="279" t="str">
        <x:v>예</x:v>
      </x:c>
      <x:c r="I90" s="279" t="str">
        <x:v>예</x:v>
      </x:c>
      <x:c r="J90" s="285" t="str">
        <x:v>후보 Feature</x:v>
      </x:c>
      <x:c r="K90" s="276" t="str">
        <x:v>—</x:v>
      </x:c>
      <x:c r="L90" s="276" t="str">
        <x:v>시간누수 없음(원점값 사용 전제); 결측은 '사건 없음'과 '미제공'을 구분</x:v>
      </x:c>
      <x:c r="M90" s="281" t="str">
        <x:v>D1; S1; A1</x:v>
      </x:c>
      <x:c r="N90" s="282" t="str">
        <x:v>확정/강한 근거: 공식 정의 + listing 문서 + 신용정보 계열</x:v>
      </x:c>
    </x:row>
    <x:row r="91" ht="56" customHeight="1">
      <x:c r="A91" s="274" t="n">
        <x:v>87</x:v>
      </x:c>
      <x:c r="B91" s="275" t="str">
        <x:v>mort_acc</x:v>
      </x:c>
      <x:c r="C91" s="276" t="str">
        <x:v>Number of mortgage accounts.</x:v>
      </x:c>
      <x:c r="D91" s="276" t="str">
        <x:v>신용평가사 보고서(주 신청자)</x:v>
      </x:c>
      <x:c r="E91" s="290" t="str">
        <x:v>T1 신용조회·신청시점 파생</x:v>
      </x:c>
      <x:c r="F91" s="276" t="str">
        <x:v>신청 과정에서 조회한 신용보고서의 원점(origin) 지표. `last_*`와 달리 대출 후 갱신치가 아니다.</x:v>
      </x:c>
      <x:c r="G91" s="276" t="str">
        <x:v>원점 고정(신청/실행 시점)</x:v>
      </x:c>
      <x:c r="H91" s="279" t="str">
        <x:v>예</x:v>
      </x:c>
      <x:c r="I91" s="279" t="str">
        <x:v>예</x:v>
      </x:c>
      <x:c r="J91" s="285" t="str">
        <x:v>후보 Feature</x:v>
      </x:c>
      <x:c r="K91" s="276" t="str">
        <x:v>—</x:v>
      </x:c>
      <x:c r="L91" s="276" t="str">
        <x:v>시간누수 없음(원점값 사용 전제); 결측은 '사건 없음'과 '미제공'을 구분</x:v>
      </x:c>
      <x:c r="M91" s="281" t="str">
        <x:v>D1; S1; A1</x:v>
      </x:c>
      <x:c r="N91" s="282" t="str">
        <x:v>확정/강한 근거: 공식 정의 + listing 문서 + 신용정보 계열</x:v>
      </x:c>
    </x:row>
    <x:row r="92" ht="56" customHeight="1">
      <x:c r="A92" s="274" t="n">
        <x:v>88</x:v>
      </x:c>
      <x:c r="B92" s="275" t="str">
        <x:v>mths_since_recent_bc</x:v>
      </x:c>
      <x:c r="C92" s="276" t="str">
        <x:v>Months since most recent bankcard account opened.</x:v>
      </x:c>
      <x:c r="D92" s="276" t="str">
        <x:v>신용평가사 보고서(주 신청자)</x:v>
      </x:c>
      <x:c r="E92" s="290" t="str">
        <x:v>T1 신용조회·신청시점 파생</x:v>
      </x:c>
      <x:c r="F92" s="276" t="str">
        <x:v>신청 과정에서 조회한 신용보고서의 원점(origin) 지표. `last_*`와 달리 대출 후 갱신치가 아니다.</x:v>
      </x:c>
      <x:c r="G92" s="276" t="str">
        <x:v>원점 고정(신청/실행 시점)</x:v>
      </x:c>
      <x:c r="H92" s="279" t="str">
        <x:v>예</x:v>
      </x:c>
      <x:c r="I92" s="279" t="str">
        <x:v>예</x:v>
      </x:c>
      <x:c r="J92" s="285" t="str">
        <x:v>후보 Feature</x:v>
      </x:c>
      <x:c r="K92" s="276" t="str">
        <x:v>—</x:v>
      </x:c>
      <x:c r="L92" s="276" t="str">
        <x:v>시간누수 없음(원점값 사용 전제); 결측은 '사건 없음'과 '미제공'을 구분</x:v>
      </x:c>
      <x:c r="M92" s="281" t="str">
        <x:v>D1; S1; A1</x:v>
      </x:c>
      <x:c r="N92" s="282" t="str">
        <x:v>확정/강한 근거: 공식 정의 + listing 문서 + 신용정보 계열</x:v>
      </x:c>
    </x:row>
    <x:row r="93" ht="56" customHeight="1">
      <x:c r="A93" s="274" t="n">
        <x:v>89</x:v>
      </x:c>
      <x:c r="B93" s="275" t="str">
        <x:v>mths_since_recent_bc_dlq</x:v>
      </x:c>
      <x:c r="C93" s="276" t="str">
        <x:v>Months since most recent bankcard delinquency</x:v>
      </x:c>
      <x:c r="D93" s="276" t="str">
        <x:v>신용평가사 보고서(주 신청자)</x:v>
      </x:c>
      <x:c r="E93" s="290" t="str">
        <x:v>T1 신용조회·신청시점 파생</x:v>
      </x:c>
      <x:c r="F93" s="276" t="str">
        <x:v>신청 과정에서 조회한 신용보고서의 원점(origin) 지표. `last_*`와 달리 대출 후 갱신치가 아니다.</x:v>
      </x:c>
      <x:c r="G93" s="276" t="str">
        <x:v>원점 고정(신청/실행 시점)</x:v>
      </x:c>
      <x:c r="H93" s="279" t="str">
        <x:v>예</x:v>
      </x:c>
      <x:c r="I93" s="279" t="str">
        <x:v>예</x:v>
      </x:c>
      <x:c r="J93" s="285" t="str">
        <x:v>후보 Feature</x:v>
      </x:c>
      <x:c r="K93" s="276" t="str">
        <x:v>—</x:v>
      </x:c>
      <x:c r="L93" s="276" t="str">
        <x:v>시간누수 없음(원점값 사용 전제); 결측은 '사건 없음'과 '미제공'을 구분</x:v>
      </x:c>
      <x:c r="M93" s="281" t="str">
        <x:v>D1; S1; A1</x:v>
      </x:c>
      <x:c r="N93" s="282" t="str">
        <x:v>확정/강한 근거: 공식 정의 + listing 문서 + 신용정보 계열</x:v>
      </x:c>
    </x:row>
    <x:row r="94" ht="56" customHeight="1">
      <x:c r="A94" s="274" t="n">
        <x:v>90</x:v>
      </x:c>
      <x:c r="B94" s="275" t="str">
        <x:v>mths_since_recent_inq</x:v>
      </x:c>
      <x:c r="C94" s="276" t="str">
        <x:v>Months since most recent inquiry.</x:v>
      </x:c>
      <x:c r="D94" s="276" t="str">
        <x:v>신용평가사 보고서(주 신청자)</x:v>
      </x:c>
      <x:c r="E94" s="290" t="str">
        <x:v>T1 신용조회·신청시점 파생</x:v>
      </x:c>
      <x:c r="F94" s="276" t="str">
        <x:v>신청 과정에서 조회한 신용보고서의 원점(origin) 지표. `last_*`와 달리 대출 후 갱신치가 아니다.</x:v>
      </x:c>
      <x:c r="G94" s="276" t="str">
        <x:v>원점 고정(신청/실행 시점)</x:v>
      </x:c>
      <x:c r="H94" s="279" t="str">
        <x:v>예</x:v>
      </x:c>
      <x:c r="I94" s="279" t="str">
        <x:v>예</x:v>
      </x:c>
      <x:c r="J94" s="285" t="str">
        <x:v>후보 Feature</x:v>
      </x:c>
      <x:c r="K94" s="276" t="str">
        <x:v>—</x:v>
      </x:c>
      <x:c r="L94" s="276" t="str">
        <x:v>시간누수 없음(원점값 사용 전제); 결측은 '사건 없음'과 '미제공'을 구분</x:v>
      </x:c>
      <x:c r="M94" s="281" t="str">
        <x:v>D1; S1; A1</x:v>
      </x:c>
      <x:c r="N94" s="282" t="str">
        <x:v>확정/강한 근거: 공식 정의 + listing 문서 + 신용정보 계열</x:v>
      </x:c>
    </x:row>
    <x:row r="95" ht="56" customHeight="1">
      <x:c r="A95" s="274" t="n">
        <x:v>91</x:v>
      </x:c>
      <x:c r="B95" s="275" t="str">
        <x:v>mths_since_recent_revol_delinq</x:v>
      </x:c>
      <x:c r="C95" s="276" t="str">
        <x:v>Months since most recent revolving delinquency.</x:v>
      </x:c>
      <x:c r="D95" s="276" t="str">
        <x:v>신용평가사 보고서(주 신청자)</x:v>
      </x:c>
      <x:c r="E95" s="290" t="str">
        <x:v>T1 신용조회·신청시점 파생</x:v>
      </x:c>
      <x:c r="F95" s="276" t="str">
        <x:v>신청 과정에서 조회한 신용보고서의 원점(origin) 지표. `last_*`와 달리 대출 후 갱신치가 아니다.</x:v>
      </x:c>
      <x:c r="G95" s="276" t="str">
        <x:v>원점 고정(신청/실행 시점)</x:v>
      </x:c>
      <x:c r="H95" s="279" t="str">
        <x:v>예</x:v>
      </x:c>
      <x:c r="I95" s="279" t="str">
        <x:v>예</x:v>
      </x:c>
      <x:c r="J95" s="285" t="str">
        <x:v>후보 Feature</x:v>
      </x:c>
      <x:c r="K95" s="276" t="str">
        <x:v>—</x:v>
      </x:c>
      <x:c r="L95" s="276" t="str">
        <x:v>시간누수 없음(원점값 사용 전제); 결측은 '사건 없음'과 '미제공'을 구분</x:v>
      </x:c>
      <x:c r="M95" s="281" t="str">
        <x:v>D1; S1; A1</x:v>
      </x:c>
      <x:c r="N95" s="282" t="str">
        <x:v>확정/강한 근거: 공식 정의 + listing 문서 + 신용정보 계열</x:v>
      </x:c>
    </x:row>
    <x:row r="96" ht="56" customHeight="1">
      <x:c r="A96" s="274" t="n">
        <x:v>92</x:v>
      </x:c>
      <x:c r="B96" s="275" t="str">
        <x:v>num_accts_ever_120_pd</x:v>
      </x:c>
      <x:c r="C96" s="276" t="str">
        <x:v>Number of accounts ever 120 or more days past due</x:v>
      </x:c>
      <x:c r="D96" s="276" t="str">
        <x:v>신용평가사 보고서(주 신청자)</x:v>
      </x:c>
      <x:c r="E96" s="290" t="str">
        <x:v>T1 신용조회·신청시점 파생</x:v>
      </x:c>
      <x:c r="F96" s="276" t="str">
        <x:v>신청 과정에서 조회한 신용보고서의 원점(origin) 지표. `last_*`와 달리 대출 후 갱신치가 아니다.</x:v>
      </x:c>
      <x:c r="G96" s="276" t="str">
        <x:v>원점 고정(신청/실행 시점)</x:v>
      </x:c>
      <x:c r="H96" s="279" t="str">
        <x:v>예</x:v>
      </x:c>
      <x:c r="I96" s="279" t="str">
        <x:v>예</x:v>
      </x:c>
      <x:c r="J96" s="285" t="str">
        <x:v>후보 Feature</x:v>
      </x:c>
      <x:c r="K96" s="276" t="str">
        <x:v>—</x:v>
      </x:c>
      <x:c r="L96" s="276" t="str">
        <x:v>시간누수 없음(원점값 사용 전제); 결측은 '사건 없음'과 '미제공'을 구분</x:v>
      </x:c>
      <x:c r="M96" s="281" t="str">
        <x:v>D1; S1; A1</x:v>
      </x:c>
      <x:c r="N96" s="282" t="str">
        <x:v>확정/강한 근거: 공식 정의 + listing 문서 + 신용정보 계열</x:v>
      </x:c>
    </x:row>
    <x:row r="97" ht="56" customHeight="1">
      <x:c r="A97" s="274" t="n">
        <x:v>93</x:v>
      </x:c>
      <x:c r="B97" s="275" t="str">
        <x:v>num_actv_bc_tl</x:v>
      </x:c>
      <x:c r="C97" s="276" t="str">
        <x:v>Number of currently active bankcard accounts</x:v>
      </x:c>
      <x:c r="D97" s="276" t="str">
        <x:v>신용평가사 보고서(주 신청자)</x:v>
      </x:c>
      <x:c r="E97" s="290" t="str">
        <x:v>T1 신용조회·신청시점 파생</x:v>
      </x:c>
      <x:c r="F97" s="276" t="str">
        <x:v>신청 과정에서 조회한 신용보고서의 원점(origin) 지표. `last_*`와 달리 대출 후 갱신치가 아니다.</x:v>
      </x:c>
      <x:c r="G97" s="276" t="str">
        <x:v>원점 고정(신청/실행 시점)</x:v>
      </x:c>
      <x:c r="H97" s="279" t="str">
        <x:v>예</x:v>
      </x:c>
      <x:c r="I97" s="279" t="str">
        <x:v>예</x:v>
      </x:c>
      <x:c r="J97" s="285" t="str">
        <x:v>후보 Feature</x:v>
      </x:c>
      <x:c r="K97" s="276" t="str">
        <x:v>—</x:v>
      </x:c>
      <x:c r="L97" s="276" t="str">
        <x:v>시간누수 없음(원점값 사용 전제); 결측은 '사건 없음'과 '미제공'을 구분</x:v>
      </x:c>
      <x:c r="M97" s="281" t="str">
        <x:v>D1; S1; A1</x:v>
      </x:c>
      <x:c r="N97" s="282" t="str">
        <x:v>확정/강한 근거: 공식 정의 + listing 문서 + 신용정보 계열</x:v>
      </x:c>
    </x:row>
    <x:row r="98" ht="56" customHeight="1">
      <x:c r="A98" s="274" t="n">
        <x:v>94</x:v>
      </x:c>
      <x:c r="B98" s="275" t="str">
        <x:v>num_actv_rev_tl</x:v>
      </x:c>
      <x:c r="C98" s="276" t="str">
        <x:v>Number of currently active revolving trades</x:v>
      </x:c>
      <x:c r="D98" s="276" t="str">
        <x:v>신용평가사 보고서(주 신청자)</x:v>
      </x:c>
      <x:c r="E98" s="290" t="str">
        <x:v>T1 신용조회·신청시점 파생</x:v>
      </x:c>
      <x:c r="F98" s="276" t="str">
        <x:v>신청 과정에서 조회한 신용보고서의 원점(origin) 지표. `last_*`와 달리 대출 후 갱신치가 아니다.</x:v>
      </x:c>
      <x:c r="G98" s="276" t="str">
        <x:v>원점 고정(신청/실행 시점)</x:v>
      </x:c>
      <x:c r="H98" s="279" t="str">
        <x:v>예</x:v>
      </x:c>
      <x:c r="I98" s="279" t="str">
        <x:v>예</x:v>
      </x:c>
      <x:c r="J98" s="285" t="str">
        <x:v>후보 Feature</x:v>
      </x:c>
      <x:c r="K98" s="276" t="str">
        <x:v>—</x:v>
      </x:c>
      <x:c r="L98" s="276" t="str">
        <x:v>시간누수 없음(원점값 사용 전제); 결측은 '사건 없음'과 '미제공'을 구분</x:v>
      </x:c>
      <x:c r="M98" s="281" t="str">
        <x:v>D1; S1; A1</x:v>
      </x:c>
      <x:c r="N98" s="282" t="str">
        <x:v>확정/강한 근거: 공식 정의 + listing 문서 + 신용정보 계열</x:v>
      </x:c>
    </x:row>
    <x:row r="99" ht="56" customHeight="1">
      <x:c r="A99" s="274" t="n">
        <x:v>95</x:v>
      </x:c>
      <x:c r="B99" s="275" t="str">
        <x:v>num_bc_sats</x:v>
      </x:c>
      <x:c r="C99" s="276" t="str">
        <x:v>Number of satisfactory bankcard accounts</x:v>
      </x:c>
      <x:c r="D99" s="276" t="str">
        <x:v>신용평가사 보고서(주 신청자)</x:v>
      </x:c>
      <x:c r="E99" s="290" t="str">
        <x:v>T1 신용조회·신청시점 파생</x:v>
      </x:c>
      <x:c r="F99" s="276" t="str">
        <x:v>신청 과정에서 조회한 신용보고서의 원점(origin) 지표. `last_*`와 달리 대출 후 갱신치가 아니다.</x:v>
      </x:c>
      <x:c r="G99" s="276" t="str">
        <x:v>원점 고정(신청/실행 시점)</x:v>
      </x:c>
      <x:c r="H99" s="279" t="str">
        <x:v>예</x:v>
      </x:c>
      <x:c r="I99" s="279" t="str">
        <x:v>예</x:v>
      </x:c>
      <x:c r="J99" s="285" t="str">
        <x:v>후보 Feature</x:v>
      </x:c>
      <x:c r="K99" s="276" t="str">
        <x:v>—</x:v>
      </x:c>
      <x:c r="L99" s="276" t="str">
        <x:v>시간누수 없음(원점값 사용 전제); 결측은 '사건 없음'과 '미제공'을 구분</x:v>
      </x:c>
      <x:c r="M99" s="281" t="str">
        <x:v>D1; S1; A1</x:v>
      </x:c>
      <x:c r="N99" s="282" t="str">
        <x:v>확정/강한 근거: 공식 정의 + listing 문서 + 신용정보 계열</x:v>
      </x:c>
    </x:row>
    <x:row r="100" ht="56" customHeight="1">
      <x:c r="A100" s="274" t="n">
        <x:v>96</x:v>
      </x:c>
      <x:c r="B100" s="275" t="str">
        <x:v>num_bc_tl</x:v>
      </x:c>
      <x:c r="C100" s="276" t="str">
        <x:v>Number of bankcard accounts</x:v>
      </x:c>
      <x:c r="D100" s="276" t="str">
        <x:v>신용평가사 보고서(주 신청자)</x:v>
      </x:c>
      <x:c r="E100" s="290" t="str">
        <x:v>T1 신용조회·신청시점 파생</x:v>
      </x:c>
      <x:c r="F100" s="276" t="str">
        <x:v>신청 과정에서 조회한 신용보고서의 원점(origin) 지표. `last_*`와 달리 대출 후 갱신치가 아니다.</x:v>
      </x:c>
      <x:c r="G100" s="276" t="str">
        <x:v>원점 고정(신청/실행 시점)</x:v>
      </x:c>
      <x:c r="H100" s="279" t="str">
        <x:v>예</x:v>
      </x:c>
      <x:c r="I100" s="279" t="str">
        <x:v>예</x:v>
      </x:c>
      <x:c r="J100" s="285" t="str">
        <x:v>후보 Feature</x:v>
      </x:c>
      <x:c r="K100" s="276" t="str">
        <x:v>—</x:v>
      </x:c>
      <x:c r="L100" s="276" t="str">
        <x:v>시간누수 없음(원점값 사용 전제); 결측은 '사건 없음'과 '미제공'을 구분</x:v>
      </x:c>
      <x:c r="M100" s="281" t="str">
        <x:v>D1; S1; A1</x:v>
      </x:c>
      <x:c r="N100" s="282" t="str">
        <x:v>확정/강한 근거: 공식 정의 + listing 문서 + 신용정보 계열</x:v>
      </x:c>
    </x:row>
    <x:row r="101" ht="56" customHeight="1">
      <x:c r="A101" s="274" t="n">
        <x:v>97</x:v>
      </x:c>
      <x:c r="B101" s="275" t="str">
        <x:v>num_il_tl</x:v>
      </x:c>
      <x:c r="C101" s="276" t="str">
        <x:v>Number of installment accounts</x:v>
      </x:c>
      <x:c r="D101" s="276" t="str">
        <x:v>신용평가사 보고서(주 신청자)</x:v>
      </x:c>
      <x:c r="E101" s="290" t="str">
        <x:v>T1 신용조회·신청시점 파생</x:v>
      </x:c>
      <x:c r="F101" s="276" t="str">
        <x:v>신청 과정에서 조회한 신용보고서의 원점(origin) 지표. `last_*`와 달리 대출 후 갱신치가 아니다.</x:v>
      </x:c>
      <x:c r="G101" s="276" t="str">
        <x:v>원점 고정(신청/실행 시점)</x:v>
      </x:c>
      <x:c r="H101" s="279" t="str">
        <x:v>예</x:v>
      </x:c>
      <x:c r="I101" s="279" t="str">
        <x:v>예</x:v>
      </x:c>
      <x:c r="J101" s="285" t="str">
        <x:v>후보 Feature</x:v>
      </x:c>
      <x:c r="K101" s="276" t="str">
        <x:v>—</x:v>
      </x:c>
      <x:c r="L101" s="276" t="str">
        <x:v>시간누수 없음(원점값 사용 전제); 결측은 '사건 없음'과 '미제공'을 구분</x:v>
      </x:c>
      <x:c r="M101" s="281" t="str">
        <x:v>D1; S1; A1</x:v>
      </x:c>
      <x:c r="N101" s="282" t="str">
        <x:v>확정/강한 근거: 공식 정의 + listing 문서 + 신용정보 계열</x:v>
      </x:c>
    </x:row>
    <x:row r="102" ht="56" customHeight="1">
      <x:c r="A102" s="274" t="n">
        <x:v>98</x:v>
      </x:c>
      <x:c r="B102" s="275" t="str">
        <x:v>num_op_rev_tl</x:v>
      </x:c>
      <x:c r="C102" s="276" t="str">
        <x:v>Number of open revolving accounts</x:v>
      </x:c>
      <x:c r="D102" s="276" t="str">
        <x:v>신용평가사 보고서(주 신청자)</x:v>
      </x:c>
      <x:c r="E102" s="290" t="str">
        <x:v>T1 신용조회·신청시점 파생</x:v>
      </x:c>
      <x:c r="F102" s="276" t="str">
        <x:v>신청 과정에서 조회한 신용보고서의 원점(origin) 지표. `last_*`와 달리 대출 후 갱신치가 아니다.</x:v>
      </x:c>
      <x:c r="G102" s="276" t="str">
        <x:v>원점 고정(신청/실행 시점)</x:v>
      </x:c>
      <x:c r="H102" s="279" t="str">
        <x:v>예</x:v>
      </x:c>
      <x:c r="I102" s="279" t="str">
        <x:v>예</x:v>
      </x:c>
      <x:c r="J102" s="285" t="str">
        <x:v>후보 Feature</x:v>
      </x:c>
      <x:c r="K102" s="276" t="str">
        <x:v>—</x:v>
      </x:c>
      <x:c r="L102" s="276" t="str">
        <x:v>시간누수 없음(원점값 사용 전제); 결측은 '사건 없음'과 '미제공'을 구분</x:v>
      </x:c>
      <x:c r="M102" s="281" t="str">
        <x:v>D1; S1; A1</x:v>
      </x:c>
      <x:c r="N102" s="282" t="str">
        <x:v>확정/강한 근거: 공식 정의 + listing 문서 + 신용정보 계열</x:v>
      </x:c>
    </x:row>
    <x:row r="103" ht="56" customHeight="1">
      <x:c r="A103" s="274" t="n">
        <x:v>99</x:v>
      </x:c>
      <x:c r="B103" s="275" t="str">
        <x:v>num_rev_accts</x:v>
      </x:c>
      <x:c r="C103" s="276" t="str">
        <x:v>Number of revolving accounts</x:v>
      </x:c>
      <x:c r="D103" s="276" t="str">
        <x:v>신용평가사 보고서(주 신청자)</x:v>
      </x:c>
      <x:c r="E103" s="290" t="str">
        <x:v>T1 신용조회·신청시점 파생</x:v>
      </x:c>
      <x:c r="F103" s="276" t="str">
        <x:v>신청 과정에서 조회한 신용보고서의 원점(origin) 지표. `last_*`와 달리 대출 후 갱신치가 아니다.</x:v>
      </x:c>
      <x:c r="G103" s="276" t="str">
        <x:v>원점 고정(신청/실행 시점)</x:v>
      </x:c>
      <x:c r="H103" s="279" t="str">
        <x:v>예</x:v>
      </x:c>
      <x:c r="I103" s="279" t="str">
        <x:v>예</x:v>
      </x:c>
      <x:c r="J103" s="285" t="str">
        <x:v>후보 Feature</x:v>
      </x:c>
      <x:c r="K103" s="276" t="str">
        <x:v>—</x:v>
      </x:c>
      <x:c r="L103" s="276" t="str">
        <x:v>시간누수 없음(원점값 사용 전제); 결측은 '사건 없음'과 '미제공'을 구분</x:v>
      </x:c>
      <x:c r="M103" s="281" t="str">
        <x:v>D1; S1; A1</x:v>
      </x:c>
      <x:c r="N103" s="282" t="str">
        <x:v>확정/강한 근거: 공식 정의 + listing 문서 + 신용정보 계열</x:v>
      </x:c>
    </x:row>
    <x:row r="104" ht="56" customHeight="1">
      <x:c r="A104" s="274" t="n">
        <x:v>100</x:v>
      </x:c>
      <x:c r="B104" s="275" t="str">
        <x:v>num_rev_tl_bal_gt_0</x:v>
      </x:c>
      <x:c r="C104" s="276" t="str">
        <x:v>Number of revolving trades with balance &gt;0</x:v>
      </x:c>
      <x:c r="D104" s="276" t="str">
        <x:v>신용평가사 보고서(주 신청자)</x:v>
      </x:c>
      <x:c r="E104" s="290" t="str">
        <x:v>T1 신용조회·신청시점 파생</x:v>
      </x:c>
      <x:c r="F104" s="276" t="str">
        <x:v>신청 과정에서 조회한 신용보고서의 원점(origin) 지표. `last_*`와 달리 대출 후 갱신치가 아니다.</x:v>
      </x:c>
      <x:c r="G104" s="276" t="str">
        <x:v>원점 고정(신청/실행 시점)</x:v>
      </x:c>
      <x:c r="H104" s="279" t="str">
        <x:v>예</x:v>
      </x:c>
      <x:c r="I104" s="279" t="str">
        <x:v>예</x:v>
      </x:c>
      <x:c r="J104" s="285" t="str">
        <x:v>후보 Feature</x:v>
      </x:c>
      <x:c r="K104" s="276" t="str">
        <x:v>—</x:v>
      </x:c>
      <x:c r="L104" s="276" t="str">
        <x:v>시간누수 없음(원점값 사용 전제); 결측은 '사건 없음'과 '미제공'을 구분</x:v>
      </x:c>
      <x:c r="M104" s="281" t="str">
        <x:v>D1; S1; A1</x:v>
      </x:c>
      <x:c r="N104" s="282" t="str">
        <x:v>확정/강한 근거: 공식 정의 + listing 문서 + 신용정보 계열</x:v>
      </x:c>
    </x:row>
    <x:row r="105" ht="56" customHeight="1">
      <x:c r="A105" s="274" t="n">
        <x:v>101</x:v>
      </x:c>
      <x:c r="B105" s="275" t="str">
        <x:v>num_sats</x:v>
      </x:c>
      <x:c r="C105" s="276" t="str">
        <x:v>Number of satisfactory accounts</x:v>
      </x:c>
      <x:c r="D105" s="276" t="str">
        <x:v>신용평가사 보고서(주 신청자)</x:v>
      </x:c>
      <x:c r="E105" s="290" t="str">
        <x:v>T1 신용조회·신청시점 파생</x:v>
      </x:c>
      <x:c r="F105" s="276" t="str">
        <x:v>신청 과정에서 조회한 신용보고서의 원점(origin) 지표. `last_*`와 달리 대출 후 갱신치가 아니다.</x:v>
      </x:c>
      <x:c r="G105" s="276" t="str">
        <x:v>원점 고정(신청/실행 시점)</x:v>
      </x:c>
      <x:c r="H105" s="279" t="str">
        <x:v>예</x:v>
      </x:c>
      <x:c r="I105" s="279" t="str">
        <x:v>예</x:v>
      </x:c>
      <x:c r="J105" s="285" t="str">
        <x:v>후보 Feature</x:v>
      </x:c>
      <x:c r="K105" s="276" t="str">
        <x:v>—</x:v>
      </x:c>
      <x:c r="L105" s="276" t="str">
        <x:v>시간누수 없음(원점값 사용 전제); 결측은 '사건 없음'과 '미제공'을 구분</x:v>
      </x:c>
      <x:c r="M105" s="281" t="str">
        <x:v>D1; S1; A1</x:v>
      </x:c>
      <x:c r="N105" s="282" t="str">
        <x:v>확정/강한 근거: 공식 정의 + listing 문서 + 신용정보 계열</x:v>
      </x:c>
    </x:row>
    <x:row r="106" ht="56" customHeight="1">
      <x:c r="A106" s="274" t="n">
        <x:v>102</x:v>
      </x:c>
      <x:c r="B106" s="275" t="str">
        <x:v>num_tl_120dpd_2m</x:v>
      </x:c>
      <x:c r="C106" s="276" t="str">
        <x:v>Number of accounts currently 120 days past due (updated in past 2 months)</x:v>
      </x:c>
      <x:c r="D106" s="276" t="str">
        <x:v>신용평가사 보고서(주 신청자)</x:v>
      </x:c>
      <x:c r="E106" s="290" t="str">
        <x:v>T1 신용조회·신청시점 파생</x:v>
      </x:c>
      <x:c r="F106" s="276" t="str">
        <x:v>신청 과정에서 조회한 신용보고서의 원점(origin) 지표. `last_*`와 달리 대출 후 갱신치가 아니다.</x:v>
      </x:c>
      <x:c r="G106" s="276" t="str">
        <x:v>원점 고정(신청/실행 시점)</x:v>
      </x:c>
      <x:c r="H106" s="279" t="str">
        <x:v>예</x:v>
      </x:c>
      <x:c r="I106" s="279" t="str">
        <x:v>예</x:v>
      </x:c>
      <x:c r="J106" s="285" t="str">
        <x:v>후보 Feature</x:v>
      </x:c>
      <x:c r="K106" s="276" t="str">
        <x:v>—</x:v>
      </x:c>
      <x:c r="L106" s="276" t="str">
        <x:v>시간누수 없음(원점값 사용 전제); 결측은 '사건 없음'과 '미제공'을 구분</x:v>
      </x:c>
      <x:c r="M106" s="281" t="str">
        <x:v>D1; S1; A1</x:v>
      </x:c>
      <x:c r="N106" s="282" t="str">
        <x:v>확정/강한 근거: 공식 정의 + listing 문서 + 신용정보 계열</x:v>
      </x:c>
    </x:row>
    <x:row r="107" ht="56" customHeight="1">
      <x:c r="A107" s="274" t="n">
        <x:v>103</x:v>
      </x:c>
      <x:c r="B107" s="275" t="str">
        <x:v>num_tl_30dpd</x:v>
      </x:c>
      <x:c r="C107" s="276" t="str">
        <x:v>Number of accounts currently 30 days past due (updated in past 2 months)</x:v>
      </x:c>
      <x:c r="D107" s="276" t="str">
        <x:v>신용평가사 보고서(주 신청자)</x:v>
      </x:c>
      <x:c r="E107" s="290" t="str">
        <x:v>T1 신용조회·신청시점 파생</x:v>
      </x:c>
      <x:c r="F107" s="276" t="str">
        <x:v>신청 과정에서 조회한 신용보고서의 원점(origin) 지표. `last_*`와 달리 대출 후 갱신치가 아니다.</x:v>
      </x:c>
      <x:c r="G107" s="276" t="str">
        <x:v>원점 고정(신청/실행 시점)</x:v>
      </x:c>
      <x:c r="H107" s="279" t="str">
        <x:v>예</x:v>
      </x:c>
      <x:c r="I107" s="279" t="str">
        <x:v>예</x:v>
      </x:c>
      <x:c r="J107" s="285" t="str">
        <x:v>후보 Feature</x:v>
      </x:c>
      <x:c r="K107" s="276" t="str">
        <x:v>—</x:v>
      </x:c>
      <x:c r="L107" s="276" t="str">
        <x:v>시간누수 없음(원점값 사용 전제); 결측은 '사건 없음'과 '미제공'을 구분</x:v>
      </x:c>
      <x:c r="M107" s="281" t="str">
        <x:v>D1; S1; A1</x:v>
      </x:c>
      <x:c r="N107" s="282" t="str">
        <x:v>확정/강한 근거: 공식 정의 + listing 문서 + 신용정보 계열</x:v>
      </x:c>
    </x:row>
    <x:row r="108" ht="56" customHeight="1">
      <x:c r="A108" s="274" t="n">
        <x:v>104</x:v>
      </x:c>
      <x:c r="B108" s="275" t="str">
        <x:v>num_tl_90g_dpd_24m</x:v>
      </x:c>
      <x:c r="C108" s="276" t="str">
        <x:v>Number of accounts 90 or more days past due in last 24 months</x:v>
      </x:c>
      <x:c r="D108" s="276" t="str">
        <x:v>신용평가사 보고서(주 신청자)</x:v>
      </x:c>
      <x:c r="E108" s="290" t="str">
        <x:v>T1 신용조회·신청시점 파생</x:v>
      </x:c>
      <x:c r="F108" s="276" t="str">
        <x:v>신청 과정에서 조회한 신용보고서의 원점(origin) 지표. `last_*`와 달리 대출 후 갱신치가 아니다.</x:v>
      </x:c>
      <x:c r="G108" s="276" t="str">
        <x:v>원점 고정(신청/실행 시점)</x:v>
      </x:c>
      <x:c r="H108" s="279" t="str">
        <x:v>예</x:v>
      </x:c>
      <x:c r="I108" s="279" t="str">
        <x:v>예</x:v>
      </x:c>
      <x:c r="J108" s="285" t="str">
        <x:v>후보 Feature</x:v>
      </x:c>
      <x:c r="K108" s="276" t="str">
        <x:v>—</x:v>
      </x:c>
      <x:c r="L108" s="276" t="str">
        <x:v>시간누수 없음(원점값 사용 전제); 결측은 '사건 없음'과 '미제공'을 구분</x:v>
      </x:c>
      <x:c r="M108" s="281" t="str">
        <x:v>D1; S1; A1</x:v>
      </x:c>
      <x:c r="N108" s="282" t="str">
        <x:v>확정/강한 근거: 공식 정의 + listing 문서 + 신용정보 계열</x:v>
      </x:c>
    </x:row>
    <x:row r="109" ht="56" customHeight="1">
      <x:c r="A109" s="274" t="n">
        <x:v>105</x:v>
      </x:c>
      <x:c r="B109" s="275" t="str">
        <x:v>num_tl_op_past_12m</x:v>
      </x:c>
      <x:c r="C109" s="276" t="str">
        <x:v>Number of accounts opened in past 12 months</x:v>
      </x:c>
      <x:c r="D109" s="276" t="str">
        <x:v>신용평가사 보고서(주 신청자)</x:v>
      </x:c>
      <x:c r="E109" s="290" t="str">
        <x:v>T1 신용조회·신청시점 파생</x:v>
      </x:c>
      <x:c r="F109" s="276" t="str">
        <x:v>신청 과정에서 조회한 신용보고서의 원점(origin) 지표. `last_*`와 달리 대출 후 갱신치가 아니다.</x:v>
      </x:c>
      <x:c r="G109" s="276" t="str">
        <x:v>원점 고정(신청/실행 시점)</x:v>
      </x:c>
      <x:c r="H109" s="279" t="str">
        <x:v>예</x:v>
      </x:c>
      <x:c r="I109" s="279" t="str">
        <x:v>예</x:v>
      </x:c>
      <x:c r="J109" s="285" t="str">
        <x:v>후보 Feature</x:v>
      </x:c>
      <x:c r="K109" s="276" t="str">
        <x:v>—</x:v>
      </x:c>
      <x:c r="L109" s="276" t="str">
        <x:v>시간누수 없음(원점값 사용 전제); 결측은 '사건 없음'과 '미제공'을 구분</x:v>
      </x:c>
      <x:c r="M109" s="281" t="str">
        <x:v>D1; S1; A1</x:v>
      </x:c>
      <x:c r="N109" s="282" t="str">
        <x:v>확정/강한 근거: 공식 정의 + listing 문서 + 신용정보 계열</x:v>
      </x:c>
    </x:row>
    <x:row r="110" ht="56" customHeight="1">
      <x:c r="A110" s="274" t="n">
        <x:v>106</x:v>
      </x:c>
      <x:c r="B110" s="275" t="str">
        <x:v>pct_tl_nvr_dlq</x:v>
      </x:c>
      <x:c r="C110" s="276" t="str">
        <x:v>Percent of trades never delinquent</x:v>
      </x:c>
      <x:c r="D110" s="276" t="str">
        <x:v>신용평가사 보고서(주 신청자)</x:v>
      </x:c>
      <x:c r="E110" s="290" t="str">
        <x:v>T1 신용조회·신청시점 파생</x:v>
      </x:c>
      <x:c r="F110" s="276" t="str">
        <x:v>신청 과정에서 조회한 신용보고서의 원점(origin) 지표. `last_*`와 달리 대출 후 갱신치가 아니다.</x:v>
      </x:c>
      <x:c r="G110" s="276" t="str">
        <x:v>원점 고정(신청/실행 시점)</x:v>
      </x:c>
      <x:c r="H110" s="279" t="str">
        <x:v>예</x:v>
      </x:c>
      <x:c r="I110" s="279" t="str">
        <x:v>예</x:v>
      </x:c>
      <x:c r="J110" s="285" t="str">
        <x:v>후보 Feature</x:v>
      </x:c>
      <x:c r="K110" s="276" t="str">
        <x:v>—</x:v>
      </x:c>
      <x:c r="L110" s="276" t="str">
        <x:v>시간누수 없음(원점값 사용 전제); 결측은 '사건 없음'과 '미제공'을 구분</x:v>
      </x:c>
      <x:c r="M110" s="281" t="str">
        <x:v>D1; S1; A1</x:v>
      </x:c>
      <x:c r="N110" s="282" t="str">
        <x:v>확정/강한 근거: 공식 정의 + listing 문서 + 신용정보 계열</x:v>
      </x:c>
    </x:row>
    <x:row r="111" ht="56" customHeight="1">
      <x:c r="A111" s="274" t="n">
        <x:v>107</x:v>
      </x:c>
      <x:c r="B111" s="275" t="str">
        <x:v>percent_bc_gt_75</x:v>
      </x:c>
      <x:c r="C111" s="276" t="str">
        <x:v>Percentage of all bankcard accounts &gt; 75% of limit.</x:v>
      </x:c>
      <x:c r="D111" s="276" t="str">
        <x:v>신용평가사 보고서(주 신청자)</x:v>
      </x:c>
      <x:c r="E111" s="290" t="str">
        <x:v>T1 신용조회·신청시점 파생</x:v>
      </x:c>
      <x:c r="F111" s="276" t="str">
        <x:v>신청 과정에서 조회한 신용보고서의 원점(origin) 지표. `last_*`와 달리 대출 후 갱신치가 아니다.</x:v>
      </x:c>
      <x:c r="G111" s="276" t="str">
        <x:v>원점 고정(신청/실행 시점)</x:v>
      </x:c>
      <x:c r="H111" s="279" t="str">
        <x:v>예</x:v>
      </x:c>
      <x:c r="I111" s="279" t="str">
        <x:v>예</x:v>
      </x:c>
      <x:c r="J111" s="285" t="str">
        <x:v>후보 Feature</x:v>
      </x:c>
      <x:c r="K111" s="276" t="str">
        <x:v>—</x:v>
      </x:c>
      <x:c r="L111" s="276" t="str">
        <x:v>시간누수 없음(원점값 사용 전제); 결측은 '사건 없음'과 '미제공'을 구분</x:v>
      </x:c>
      <x:c r="M111" s="281" t="str">
        <x:v>D1; S1; A1</x:v>
      </x:c>
      <x:c r="N111" s="282" t="str">
        <x:v>확정/강한 근거: 공식 정의 + listing 문서 + 신용정보 계열</x:v>
      </x:c>
    </x:row>
    <x:row r="112" ht="56" customHeight="1">
      <x:c r="A112" s="274" t="n">
        <x:v>108</x:v>
      </x:c>
      <x:c r="B112" s="275" t="str">
        <x:v>pub_rec_bankruptcies</x:v>
      </x:c>
      <x:c r="C112" s="276" t="str">
        <x:v>Number of public record bankruptcies</x:v>
      </x:c>
      <x:c r="D112" s="276" t="str">
        <x:v>신용평가사 보고서(주 신청자)</x:v>
      </x:c>
      <x:c r="E112" s="290" t="str">
        <x:v>T1 신용조회·신청시점 파생</x:v>
      </x:c>
      <x:c r="F112" s="276" t="str">
        <x:v>신청 과정에서 조회한 신용보고서의 원점(origin) 지표. `last_*`와 달리 대출 후 갱신치가 아니다.</x:v>
      </x:c>
      <x:c r="G112" s="276" t="str">
        <x:v>원점 고정(신청/실행 시점)</x:v>
      </x:c>
      <x:c r="H112" s="279" t="str">
        <x:v>예</x:v>
      </x:c>
      <x:c r="I112" s="279" t="str">
        <x:v>예</x:v>
      </x:c>
      <x:c r="J112" s="285" t="str">
        <x:v>후보 Feature</x:v>
      </x:c>
      <x:c r="K112" s="276" t="str">
        <x:v>—</x:v>
      </x:c>
      <x:c r="L112" s="276" t="str">
        <x:v>시간누수 없음(원점값 사용 전제); 결측은 '사건 없음'과 '미제공'을 구분</x:v>
      </x:c>
      <x:c r="M112" s="281" t="str">
        <x:v>D1; S1; A1</x:v>
      </x:c>
      <x:c r="N112" s="282" t="str">
        <x:v>확정/강한 근거: 공식 정의 + listing 문서 + 신용정보 계열</x:v>
      </x:c>
    </x:row>
    <x:row r="113" ht="56" customHeight="1">
      <x:c r="A113" s="274" t="n">
        <x:v>109</x:v>
      </x:c>
      <x:c r="B113" s="275" t="str">
        <x:v>tax_liens</x:v>
      </x:c>
      <x:c r="C113" s="276" t="str">
        <x:v>Number of tax liens</x:v>
      </x:c>
      <x:c r="D113" s="276" t="str">
        <x:v>신용평가사 보고서(주 신청자)</x:v>
      </x:c>
      <x:c r="E113" s="290" t="str">
        <x:v>T1 신용조회·신청시점 파생</x:v>
      </x:c>
      <x:c r="F113" s="276" t="str">
        <x:v>신청 과정에서 조회한 신용보고서의 원점(origin) 지표. `last_*`와 달리 대출 후 갱신치가 아니다.</x:v>
      </x:c>
      <x:c r="G113" s="276" t="str">
        <x:v>원점 고정(신청/실행 시점)</x:v>
      </x:c>
      <x:c r="H113" s="279" t="str">
        <x:v>예</x:v>
      </x:c>
      <x:c r="I113" s="279" t="str">
        <x:v>예</x:v>
      </x:c>
      <x:c r="J113" s="285" t="str">
        <x:v>후보 Feature</x:v>
      </x:c>
      <x:c r="K113" s="276" t="str">
        <x:v>—</x:v>
      </x:c>
      <x:c r="L113" s="276" t="str">
        <x:v>시간누수 없음(원점값 사용 전제); 결측은 '사건 없음'과 '미제공'을 구분</x:v>
      </x:c>
      <x:c r="M113" s="281" t="str">
        <x:v>D1; S1; A1</x:v>
      </x:c>
      <x:c r="N113" s="282" t="str">
        <x:v>확정/강한 근거: 공식 정의 + listing 문서 + 신용정보 계열</x:v>
      </x:c>
    </x:row>
    <x:row r="114" ht="56" customHeight="1">
      <x:c r="A114" s="274" t="n">
        <x:v>110</x:v>
      </x:c>
      <x:c r="B114" s="275" t="str">
        <x:v>tot_hi_cred_lim</x:v>
      </x:c>
      <x:c r="C114" s="276" t="str">
        <x:v>Total high credit/credit limit</x:v>
      </x:c>
      <x:c r="D114" s="276" t="str">
        <x:v>신용평가사 보고서(주 신청자)</x:v>
      </x:c>
      <x:c r="E114" s="290" t="str">
        <x:v>T1 신용조회·신청시점 파생</x:v>
      </x:c>
      <x:c r="F114" s="276" t="str">
        <x:v>신청 과정에서 조회한 신용보고서의 원점(origin) 지표. `last_*`와 달리 대출 후 갱신치가 아니다.</x:v>
      </x:c>
      <x:c r="G114" s="276" t="str">
        <x:v>원점 고정(신청/실행 시점)</x:v>
      </x:c>
      <x:c r="H114" s="279" t="str">
        <x:v>예</x:v>
      </x:c>
      <x:c r="I114" s="279" t="str">
        <x:v>예</x:v>
      </x:c>
      <x:c r="J114" s="285" t="str">
        <x:v>후보 Feature</x:v>
      </x:c>
      <x:c r="K114" s="276" t="str">
        <x:v>—</x:v>
      </x:c>
      <x:c r="L114" s="276" t="str">
        <x:v>시간누수 없음(원점값 사용 전제); 결측은 '사건 없음'과 '미제공'을 구분</x:v>
      </x:c>
      <x:c r="M114" s="281" t="str">
        <x:v>D1; S1; A1</x:v>
      </x:c>
      <x:c r="N114" s="282" t="str">
        <x:v>확정/강한 근거: 공식 정의 + listing 문서 + 신용정보 계열</x:v>
      </x:c>
    </x:row>
    <x:row r="115" ht="56" customHeight="1">
      <x:c r="A115" s="274" t="n">
        <x:v>111</x:v>
      </x:c>
      <x:c r="B115" s="275" t="str">
        <x:v>total_bal_ex_mort</x:v>
      </x:c>
      <x:c r="C115" s="276" t="str">
        <x:v>Total credit balance excluding mortgage</x:v>
      </x:c>
      <x:c r="D115" s="276" t="str">
        <x:v>신용평가사 보고서(주 신청자)</x:v>
      </x:c>
      <x:c r="E115" s="290" t="str">
        <x:v>T1 신용조회·신청시점 파생</x:v>
      </x:c>
      <x:c r="F115" s="276" t="str">
        <x:v>신청 과정에서 조회한 신용보고서의 원점(origin) 지표. `last_*`와 달리 대출 후 갱신치가 아니다.</x:v>
      </x:c>
      <x:c r="G115" s="276" t="str">
        <x:v>원점 고정(신청/실행 시점)</x:v>
      </x:c>
      <x:c r="H115" s="279" t="str">
        <x:v>예</x:v>
      </x:c>
      <x:c r="I115" s="279" t="str">
        <x:v>예</x:v>
      </x:c>
      <x:c r="J115" s="285" t="str">
        <x:v>후보 Feature</x:v>
      </x:c>
      <x:c r="K115" s="276" t="str">
        <x:v>—</x:v>
      </x:c>
      <x:c r="L115" s="276" t="str">
        <x:v>시간누수 없음(원점값 사용 전제); 결측은 '사건 없음'과 '미제공'을 구분</x:v>
      </x:c>
      <x:c r="M115" s="281" t="str">
        <x:v>D1; S1; A1</x:v>
      </x:c>
      <x:c r="N115" s="282" t="str">
        <x:v>확정/강한 근거: 공식 정의 + listing 문서 + 신용정보 계열</x:v>
      </x:c>
    </x:row>
    <x:row r="116" ht="56" customHeight="1">
      <x:c r="A116" s="274" t="n">
        <x:v>112</x:v>
      </x:c>
      <x:c r="B116" s="275" t="str">
        <x:v>total_bc_limit</x:v>
      </x:c>
      <x:c r="C116" s="276" t="str">
        <x:v>Total bankcard high credit/credit limit</x:v>
      </x:c>
      <x:c r="D116" s="276" t="str">
        <x:v>신용평가사 보고서(주 신청자)</x:v>
      </x:c>
      <x:c r="E116" s="290" t="str">
        <x:v>T1 신용조회·신청시점 파생</x:v>
      </x:c>
      <x:c r="F116" s="276" t="str">
        <x:v>신청 과정에서 조회한 신용보고서의 원점(origin) 지표. `last_*`와 달리 대출 후 갱신치가 아니다.</x:v>
      </x:c>
      <x:c r="G116" s="276" t="str">
        <x:v>원점 고정(신청/실행 시점)</x:v>
      </x:c>
      <x:c r="H116" s="279" t="str">
        <x:v>예</x:v>
      </x:c>
      <x:c r="I116" s="279" t="str">
        <x:v>예</x:v>
      </x:c>
      <x:c r="J116" s="285" t="str">
        <x:v>후보 Feature</x:v>
      </x:c>
      <x:c r="K116" s="276" t="str">
        <x:v>—</x:v>
      </x:c>
      <x:c r="L116" s="276" t="str">
        <x:v>시간누수 없음(원점값 사용 전제); 결측은 '사건 없음'과 '미제공'을 구분</x:v>
      </x:c>
      <x:c r="M116" s="281" t="str">
        <x:v>D1; S1; A1</x:v>
      </x:c>
      <x:c r="N116" s="282" t="str">
        <x:v>확정/강한 근거: 공식 정의 + listing 문서 + 신용정보 계열</x:v>
      </x:c>
    </x:row>
    <x:row r="117" ht="56" customHeight="1">
      <x:c r="A117" s="274" t="n">
        <x:v>113</x:v>
      </x:c>
      <x:c r="B117" s="275" t="str">
        <x:v>total_il_high_credit_limit</x:v>
      </x:c>
      <x:c r="C117" s="276" t="str">
        <x:v>Total installment high credit/credit limit</x:v>
      </x:c>
      <x:c r="D117" s="276" t="str">
        <x:v>신용평가사 보고서(주 신청자)</x:v>
      </x:c>
      <x:c r="E117" s="290" t="str">
        <x:v>T1 신용조회·신청시점 파생</x:v>
      </x:c>
      <x:c r="F117" s="276" t="str">
        <x:v>신청 과정에서 조회한 신용보고서의 원점(origin) 지표. `last_*`와 달리 대출 후 갱신치가 아니다.</x:v>
      </x:c>
      <x:c r="G117" s="276" t="str">
        <x:v>원점 고정(신청/실행 시점)</x:v>
      </x:c>
      <x:c r="H117" s="279" t="str">
        <x:v>예</x:v>
      </x:c>
      <x:c r="I117" s="279" t="str">
        <x:v>예</x:v>
      </x:c>
      <x:c r="J117" s="285" t="str">
        <x:v>후보 Feature</x:v>
      </x:c>
      <x:c r="K117" s="276" t="str">
        <x:v>—</x:v>
      </x:c>
      <x:c r="L117" s="276" t="str">
        <x:v>시간누수 없음(원점값 사용 전제); 결측은 '사건 없음'과 '미제공'을 구분</x:v>
      </x:c>
      <x:c r="M117" s="281" t="str">
        <x:v>D1; S1; A1</x:v>
      </x:c>
      <x:c r="N117" s="282" t="str">
        <x:v>확정/강한 근거: 공식 정의 + listing 문서 + 신용정보 계열</x:v>
      </x:c>
    </x:row>
    <x:row r="118" ht="56" customHeight="1">
      <x:c r="A118" s="274" t="n">
        <x:v>114</x:v>
      </x:c>
      <x:c r="B118" s="275" t="str">
        <x:v>revol_bal_joint</x:v>
      </x:c>
      <x:c r="C118" s="276" t="str">
        <x:v>Sum of revolving credit balance of the co-borrowers, net of duplicate balances</x:v>
      </x:c>
      <x:c r="D118" s="276" t="str">
        <x:v>신용평가사 보고서(공동/보조 신청자)</x:v>
      </x:c>
      <x:c r="E118" s="290" t="str">
        <x:v>T1 신용조회·신청시점 파생</x:v>
      </x:c>
      <x:c r="F118" s="276" t="str">
        <x:v>공동신청의 보조 신청자 신용보고서에서 신청/대출실행 시점에 생성되는 원점(origin) 지표.</x:v>
      </x:c>
      <x:c r="G118" s="276" t="str">
        <x:v>원점 고정(신청/실행 시점)</x:v>
      </x:c>
      <x:c r="H118" s="279" t="str">
        <x:v>예</x:v>
      </x:c>
      <x:c r="I118" s="279" t="str">
        <x:v>예</x:v>
      </x:c>
      <x:c r="J118" s="285" t="str">
        <x:v>후보 Feature</x:v>
      </x:c>
      <x:c r="K118" s="276" t="str">
        <x:v>—</x:v>
      </x:c>
      <x:c r="L118" s="276" t="str">
        <x:v>시간누수 없음(원점값 사용 전제); 결측은 '사건 없음'과 '미제공'을 구분</x:v>
      </x:c>
      <x:c r="M118" s="281" t="str">
        <x:v>D1; S1; A1</x:v>
      </x:c>
      <x:c r="N118" s="282" t="str">
        <x:v>확정/강한 근거: 공식 정의 + listing 문서 + 신용정보 계열</x:v>
      </x:c>
    </x:row>
    <x:row r="119" ht="56" customHeight="1">
      <x:c r="A119" s="274" t="n">
        <x:v>115</x:v>
      </x:c>
      <x:c r="B119" s="275" t="str">
        <x:v>sec_app_fico_range_low</x:v>
      </x:c>
      <x:c r="C119" s="276" t="str">
        <x:v>FICO range (high) for the secondary applicant</x:v>
      </x:c>
      <x:c r="D119" s="276" t="str">
        <x:v>신용평가사 보고서(공동/보조 신청자)</x:v>
      </x:c>
      <x:c r="E119" s="290" t="str">
        <x:v>T1 신용조회·신청시점 파생</x:v>
      </x:c>
      <x:c r="F119" s="276" t="str">
        <x:v>공동신청의 보조 신청자 신용보고서에서 신청/대출실행 시점에 생성되는 원점(origin) 지표.</x:v>
      </x:c>
      <x:c r="G119" s="276" t="str">
        <x:v>원점 고정(신청/실행 시점)</x:v>
      </x:c>
      <x:c r="H119" s="279" t="str">
        <x:v>예</x:v>
      </x:c>
      <x:c r="I119" s="279" t="str">
        <x:v>예</x:v>
      </x:c>
      <x:c r="J119" s="285" t="str">
        <x:v>후보 Feature</x:v>
      </x:c>
      <x:c r="K119" s="276" t="str">
        <x:v>—</x:v>
      </x:c>
      <x:c r="L119" s="276" t="str">
        <x:v>시간누수 없음(원점값 사용 전제); 결측은 '사건 없음'과 '미제공'을 구분</x:v>
      </x:c>
      <x:c r="M119" s="281" t="str">
        <x:v>D1; S1; A1</x:v>
      </x:c>
      <x:c r="N119" s="282" t="str">
        <x:v>확정; 공식 사전의 high/low 문구가 뒤바뀐 오기 주의</x:v>
      </x:c>
    </x:row>
    <x:row r="120" ht="56" customHeight="1">
      <x:c r="A120" s="274" t="n">
        <x:v>116</x:v>
      </x:c>
      <x:c r="B120" s="275" t="str">
        <x:v>sec_app_fico_range_high</x:v>
      </x:c>
      <x:c r="C120" s="276" t="str">
        <x:v>FICO range (low) for the secondary applicant</x:v>
      </x:c>
      <x:c r="D120" s="276" t="str">
        <x:v>신용평가사 보고서(공동/보조 신청자)</x:v>
      </x:c>
      <x:c r="E120" s="290" t="str">
        <x:v>T1 신용조회·신청시점 파생</x:v>
      </x:c>
      <x:c r="F120" s="276" t="str">
        <x:v>공동신청의 보조 신청자 신용보고서에서 신청/대출실행 시점에 생성되는 원점(origin) 지표.</x:v>
      </x:c>
      <x:c r="G120" s="276" t="str">
        <x:v>원점 고정(신청/실행 시점)</x:v>
      </x:c>
      <x:c r="H120" s="279" t="str">
        <x:v>예</x:v>
      </x:c>
      <x:c r="I120" s="279" t="str">
        <x:v>예</x:v>
      </x:c>
      <x:c r="J120" s="285" t="str">
        <x:v>후보 Feature</x:v>
      </x:c>
      <x:c r="K120" s="276" t="str">
        <x:v>—</x:v>
      </x:c>
      <x:c r="L120" s="276" t="str">
        <x:v>시간누수 없음(원점값 사용 전제); 결측은 '사건 없음'과 '미제공'을 구분</x:v>
      </x:c>
      <x:c r="M120" s="281" t="str">
        <x:v>D1; S1; A1</x:v>
      </x:c>
      <x:c r="N120" s="282" t="str">
        <x:v>확정; 공식 사전의 high/low 문구가 뒤바뀐 오기 주의</x:v>
      </x:c>
    </x:row>
    <x:row r="121" ht="56" customHeight="1">
      <x:c r="A121" s="274" t="n">
        <x:v>117</x:v>
      </x:c>
      <x:c r="B121" s="275" t="str">
        <x:v>sec_app_earliest_cr_line</x:v>
      </x:c>
      <x:c r="C121" s="276" t="str">
        <x:v>Earliest credit line at time of application for the secondary applicant</x:v>
      </x:c>
      <x:c r="D121" s="276" t="str">
        <x:v>신용평가사 보고서(공동/보조 신청자)</x:v>
      </x:c>
      <x:c r="E121" s="290" t="str">
        <x:v>T1 신용조회·신청시점 파생</x:v>
      </x:c>
      <x:c r="F121" s="276" t="str">
        <x:v>공동신청의 보조 신청자 신용보고서에서 신청/대출실행 시점에 생성되는 원점(origin) 지표.</x:v>
      </x:c>
      <x:c r="G121" s="276" t="str">
        <x:v>원점 고정(신청/실행 시점)</x:v>
      </x:c>
      <x:c r="H121" s="279" t="str">
        <x:v>예</x:v>
      </x:c>
      <x:c r="I121" s="279" t="str">
        <x:v>예</x:v>
      </x:c>
      <x:c r="J121" s="285" t="str">
        <x:v>후보 Feature</x:v>
      </x:c>
      <x:c r="K121" s="276" t="str">
        <x:v>—</x:v>
      </x:c>
      <x:c r="L121" s="276" t="str">
        <x:v>시간누수 없음(원점값 사용 전제); 결측은 '사건 없음'과 '미제공'을 구분</x:v>
      </x:c>
      <x:c r="M121" s="281" t="str">
        <x:v>D1; S1; A1</x:v>
      </x:c>
      <x:c r="N121" s="282" t="str">
        <x:v>확정/강한 근거: 공식 정의 + listing 문서 + 신용정보 계열</x:v>
      </x:c>
    </x:row>
    <x:row r="122" ht="56" customHeight="1">
      <x:c r="A122" s="274" t="n">
        <x:v>118</x:v>
      </x:c>
      <x:c r="B122" s="275" t="str">
        <x:v>sec_app_inq_last_6mths</x:v>
      </x:c>
      <x:c r="C122" s="276" t="str">
        <x:v>Credit inquiries in the last 6 months at time of application for the secondary applicant</x:v>
      </x:c>
      <x:c r="D122" s="276" t="str">
        <x:v>신용평가사 보고서(공동/보조 신청자)</x:v>
      </x:c>
      <x:c r="E122" s="290" t="str">
        <x:v>T1 신용조회·신청시점 파생</x:v>
      </x:c>
      <x:c r="F122" s="276" t="str">
        <x:v>공동신청의 보조 신청자 신용보고서에서 신청/대출실행 시점에 생성되는 원점(origin) 지표.</x:v>
      </x:c>
      <x:c r="G122" s="276" t="str">
        <x:v>원점 고정(신청/실행 시점)</x:v>
      </x:c>
      <x:c r="H122" s="279" t="str">
        <x:v>예</x:v>
      </x:c>
      <x:c r="I122" s="279" t="str">
        <x:v>예</x:v>
      </x:c>
      <x:c r="J122" s="285" t="str">
        <x:v>후보 Feature</x:v>
      </x:c>
      <x:c r="K122" s="276" t="str">
        <x:v>—</x:v>
      </x:c>
      <x:c r="L122" s="276" t="str">
        <x:v>시간누수 없음(원점값 사용 전제); 결측은 '사건 없음'과 '미제공'을 구분</x:v>
      </x:c>
      <x:c r="M122" s="281" t="str">
        <x:v>D1; S1; A1</x:v>
      </x:c>
      <x:c r="N122" s="282" t="str">
        <x:v>확정/강한 근거: 공식 정의 + listing 문서 + 신용정보 계열</x:v>
      </x:c>
    </x:row>
    <x:row r="123" ht="56" customHeight="1">
      <x:c r="A123" s="274" t="n">
        <x:v>119</x:v>
      </x:c>
      <x:c r="B123" s="275" t="str">
        <x:v>sec_app_mort_acc</x:v>
      </x:c>
      <x:c r="C123" s="276" t="str">
        <x:v>Number of mortgage accounts at time of application for the secondary applicant</x:v>
      </x:c>
      <x:c r="D123" s="276" t="str">
        <x:v>신용평가사 보고서(공동/보조 신청자)</x:v>
      </x:c>
      <x:c r="E123" s="290" t="str">
        <x:v>T1 신용조회·신청시점 파생</x:v>
      </x:c>
      <x:c r="F123" s="276" t="str">
        <x:v>공동신청의 보조 신청자 신용보고서에서 신청/대출실행 시점에 생성되는 원점(origin) 지표.</x:v>
      </x:c>
      <x:c r="G123" s="276" t="str">
        <x:v>원점 고정(신청/실행 시점)</x:v>
      </x:c>
      <x:c r="H123" s="279" t="str">
        <x:v>예</x:v>
      </x:c>
      <x:c r="I123" s="279" t="str">
        <x:v>예</x:v>
      </x:c>
      <x:c r="J123" s="285" t="str">
        <x:v>후보 Feature</x:v>
      </x:c>
      <x:c r="K123" s="276" t="str">
        <x:v>—</x:v>
      </x:c>
      <x:c r="L123" s="276" t="str">
        <x:v>시간누수 없음(원점값 사용 전제); 결측은 '사건 없음'과 '미제공'을 구분</x:v>
      </x:c>
      <x:c r="M123" s="281" t="str">
        <x:v>D1; S1; A1</x:v>
      </x:c>
      <x:c r="N123" s="282" t="str">
        <x:v>확정/강한 근거: 공식 정의 + listing 문서 + 신용정보 계열</x:v>
      </x:c>
    </x:row>
    <x:row r="124" ht="56" customHeight="1">
      <x:c r="A124" s="274" t="n">
        <x:v>120</x:v>
      </x:c>
      <x:c r="B124" s="275" t="str">
        <x:v>sec_app_open_acc</x:v>
      </x:c>
      <x:c r="C124" s="276" t="str">
        <x:v>Number of open trades at time of application for the secondary applicant</x:v>
      </x:c>
      <x:c r="D124" s="276" t="str">
        <x:v>신용평가사 보고서(공동/보조 신청자)</x:v>
      </x:c>
      <x:c r="E124" s="290" t="str">
        <x:v>T1 신용조회·신청시점 파생</x:v>
      </x:c>
      <x:c r="F124" s="276" t="str">
        <x:v>공동신청의 보조 신청자 신용보고서에서 신청/대출실행 시점에 생성되는 원점(origin) 지표.</x:v>
      </x:c>
      <x:c r="G124" s="276" t="str">
        <x:v>원점 고정(신청/실행 시점)</x:v>
      </x:c>
      <x:c r="H124" s="279" t="str">
        <x:v>예</x:v>
      </x:c>
      <x:c r="I124" s="279" t="str">
        <x:v>예</x:v>
      </x:c>
      <x:c r="J124" s="285" t="str">
        <x:v>후보 Feature</x:v>
      </x:c>
      <x:c r="K124" s="276" t="str">
        <x:v>—</x:v>
      </x:c>
      <x:c r="L124" s="276" t="str">
        <x:v>시간누수 없음(원점값 사용 전제); 결측은 '사건 없음'과 '미제공'을 구분</x:v>
      </x:c>
      <x:c r="M124" s="281" t="str">
        <x:v>D1; S1; A1</x:v>
      </x:c>
      <x:c r="N124" s="282" t="str">
        <x:v>확정/강한 근거: 공식 정의 + listing 문서 + 신용정보 계열</x:v>
      </x:c>
    </x:row>
    <x:row r="125" ht="56" customHeight="1">
      <x:c r="A125" s="274" t="n">
        <x:v>121</x:v>
      </x:c>
      <x:c r="B125" s="275" t="str">
        <x:v>sec_app_revol_util</x:v>
      </x:c>
      <x:c r="C125" s="276" t="str">
        <x:v>Ratio of total current balance to high credit/credit limit for all revolving accounts</x:v>
      </x:c>
      <x:c r="D125" s="276" t="str">
        <x:v>신용평가사 보고서(공동/보조 신청자)</x:v>
      </x:c>
      <x:c r="E125" s="290" t="str">
        <x:v>T1 신용조회·신청시점 파생</x:v>
      </x:c>
      <x:c r="F125" s="276" t="str">
        <x:v>공동신청의 보조 신청자 신용보고서에서 신청/대출실행 시점에 생성되는 원점(origin) 지표.</x:v>
      </x:c>
      <x:c r="G125" s="276" t="str">
        <x:v>원점 고정(신청/실행 시점)</x:v>
      </x:c>
      <x:c r="H125" s="279" t="str">
        <x:v>예</x:v>
      </x:c>
      <x:c r="I125" s="279" t="str">
        <x:v>예</x:v>
      </x:c>
      <x:c r="J125" s="285" t="str">
        <x:v>후보 Feature</x:v>
      </x:c>
      <x:c r="K125" s="276" t="str">
        <x:v>—</x:v>
      </x:c>
      <x:c r="L125" s="276" t="str">
        <x:v>시간누수 없음(원점값 사용 전제); 결측은 '사건 없음'과 '미제공'을 구분</x:v>
      </x:c>
      <x:c r="M125" s="281" t="str">
        <x:v>D1; S1; A1</x:v>
      </x:c>
      <x:c r="N125" s="282" t="str">
        <x:v>확정/강한 근거: 공식 정의 + listing 문서 + 신용정보 계열</x:v>
      </x:c>
    </x:row>
    <x:row r="126" ht="56" customHeight="1">
      <x:c r="A126" s="274" t="n">
        <x:v>122</x:v>
      </x:c>
      <x:c r="B126" s="275" t="str">
        <x:v>sec_app_open_act_il</x:v>
      </x:c>
      <x:c r="C126" s="276" t="str">
        <x:v>Number of currently active installment trades at time of application for the secondary applicant</x:v>
      </x:c>
      <x:c r="D126" s="276" t="str">
        <x:v>신용평가사 보고서(공동/보조 신청자)</x:v>
      </x:c>
      <x:c r="E126" s="290" t="str">
        <x:v>T1 신용조회·신청시점 파생</x:v>
      </x:c>
      <x:c r="F126" s="276" t="str">
        <x:v>공동신청의 보조 신청자 신용보고서에서 신청/대출실행 시점에 생성되는 원점(origin) 지표.</x:v>
      </x:c>
      <x:c r="G126" s="276" t="str">
        <x:v>원점 고정(신청/실행 시점)</x:v>
      </x:c>
      <x:c r="H126" s="279" t="str">
        <x:v>예</x:v>
      </x:c>
      <x:c r="I126" s="279" t="str">
        <x:v>예</x:v>
      </x:c>
      <x:c r="J126" s="285" t="str">
        <x:v>후보 Feature</x:v>
      </x:c>
      <x:c r="K126" s="276" t="str">
        <x:v>—</x:v>
      </x:c>
      <x:c r="L126" s="276" t="str">
        <x:v>시간누수 없음(원점값 사용 전제); 결측은 '사건 없음'과 '미제공'을 구분</x:v>
      </x:c>
      <x:c r="M126" s="281" t="str">
        <x:v>D1; S1; A1</x:v>
      </x:c>
      <x:c r="N126" s="282" t="str">
        <x:v>확정/강한 근거: 공식 정의 + listing 문서 + 신용정보 계열</x:v>
      </x:c>
    </x:row>
    <x:row r="127" ht="56" customHeight="1">
      <x:c r="A127" s="274" t="n">
        <x:v>123</x:v>
      </x:c>
      <x:c r="B127" s="275" t="str">
        <x:v>sec_app_num_rev_accts</x:v>
      </x:c>
      <x:c r="C127" s="276" t="str">
        <x:v>Number of revolving accounts at time of application for the secondary applicant</x:v>
      </x:c>
      <x:c r="D127" s="276" t="str">
        <x:v>신용평가사 보고서(공동/보조 신청자)</x:v>
      </x:c>
      <x:c r="E127" s="290" t="str">
        <x:v>T1 신용조회·신청시점 파생</x:v>
      </x:c>
      <x:c r="F127" s="276" t="str">
        <x:v>공동신청의 보조 신청자 신용보고서에서 신청/대출실행 시점에 생성되는 원점(origin) 지표.</x:v>
      </x:c>
      <x:c r="G127" s="276" t="str">
        <x:v>원점 고정(신청/실행 시점)</x:v>
      </x:c>
      <x:c r="H127" s="279" t="str">
        <x:v>예</x:v>
      </x:c>
      <x:c r="I127" s="279" t="str">
        <x:v>예</x:v>
      </x:c>
      <x:c r="J127" s="285" t="str">
        <x:v>후보 Feature</x:v>
      </x:c>
      <x:c r="K127" s="276" t="str">
        <x:v>—</x:v>
      </x:c>
      <x:c r="L127" s="276" t="str">
        <x:v>시간누수 없음(원점값 사용 전제); 결측은 '사건 없음'과 '미제공'을 구분</x:v>
      </x:c>
      <x:c r="M127" s="281" t="str">
        <x:v>D1; S1; A1</x:v>
      </x:c>
      <x:c r="N127" s="282" t="str">
        <x:v>확정/강한 근거: 공식 정의 + listing 문서 + 신용정보 계열</x:v>
      </x:c>
    </x:row>
    <x:row r="128" ht="56" customHeight="1">
      <x:c r="A128" s="274" t="n">
        <x:v>124</x:v>
      </x:c>
      <x:c r="B128" s="275" t="str">
        <x:v>sec_app_chargeoff_within_12_mths</x:v>
      </x:c>
      <x:c r="C128" s="276" t="str">
        <x:v>Number of charge-offs within last 12 months at time of application for the secondary applicant</x:v>
      </x:c>
      <x:c r="D128" s="276" t="str">
        <x:v>신용평가사 보고서(공동/보조 신청자)</x:v>
      </x:c>
      <x:c r="E128" s="290" t="str">
        <x:v>T1 신용조회·신청시점 파생</x:v>
      </x:c>
      <x:c r="F128" s="276" t="str">
        <x:v>공동신청의 보조 신청자 신용보고서에서 신청/대출실행 시점에 생성되는 원점(origin) 지표.</x:v>
      </x:c>
      <x:c r="G128" s="276" t="str">
        <x:v>원점 고정(신청/실행 시점)</x:v>
      </x:c>
      <x:c r="H128" s="279" t="str">
        <x:v>예</x:v>
      </x:c>
      <x:c r="I128" s="279" t="str">
        <x:v>예</x:v>
      </x:c>
      <x:c r="J128" s="285" t="str">
        <x:v>후보 Feature</x:v>
      </x:c>
      <x:c r="K128" s="276" t="str">
        <x:v>—</x:v>
      </x:c>
      <x:c r="L128" s="276" t="str">
        <x:v>시간누수 없음(원점값 사용 전제); 결측은 '사건 없음'과 '미제공'을 구분</x:v>
      </x:c>
      <x:c r="M128" s="281" t="str">
        <x:v>D1; S1; A1</x:v>
      </x:c>
      <x:c r="N128" s="282" t="str">
        <x:v>확정/강한 근거: 공식 정의 + listing 문서 + 신용정보 계열</x:v>
      </x:c>
    </x:row>
    <x:row r="129" ht="56" customHeight="1">
      <x:c r="A129" s="274" t="n">
        <x:v>125</x:v>
      </x:c>
      <x:c r="B129" s="275" t="str">
        <x:v>sec_app_collections_12_mths_ex_med</x:v>
      </x:c>
      <x:c r="C129" s="276" t="str">
        <x:v>Number of collections within last 12 months excluding medical collections at time of application for the secondary applicant</x:v>
      </x:c>
      <x:c r="D129" s="276" t="str">
        <x:v>신용평가사 보고서(공동/보조 신청자)</x:v>
      </x:c>
      <x:c r="E129" s="290" t="str">
        <x:v>T1 신용조회·신청시점 파생</x:v>
      </x:c>
      <x:c r="F129" s="276" t="str">
        <x:v>공동신청의 보조 신청자 신용보고서에서 신청/대출실행 시점에 생성되는 원점(origin) 지표.</x:v>
      </x:c>
      <x:c r="G129" s="276" t="str">
        <x:v>원점 고정(신청/실행 시점)</x:v>
      </x:c>
      <x:c r="H129" s="279" t="str">
        <x:v>예</x:v>
      </x:c>
      <x:c r="I129" s="279" t="str">
        <x:v>예</x:v>
      </x:c>
      <x:c r="J129" s="285" t="str">
        <x:v>후보 Feature</x:v>
      </x:c>
      <x:c r="K129" s="276" t="str">
        <x:v>—</x:v>
      </x:c>
      <x:c r="L129" s="276" t="str">
        <x:v>시간누수 없음(원점값 사용 전제); 결측은 '사건 없음'과 '미제공'을 구분</x:v>
      </x:c>
      <x:c r="M129" s="281" t="str">
        <x:v>D1; S1; A1</x:v>
      </x:c>
      <x:c r="N129" s="282" t="str">
        <x:v>확정/강한 근거: 공식 정의 + listing 문서 + 신용정보 계열</x:v>
      </x:c>
    </x:row>
    <x:row r="130" ht="56" customHeight="1">
      <x:c r="A130" s="274" t="n">
        <x:v>126</x:v>
      </x:c>
      <x:c r="B130" s="275" t="str">
        <x:v>hardship_flag</x:v>
      </x:c>
      <x:c r="C130" s="276" t="str">
        <x:v>Flags whether or not the borrower is on a hardship plan</x:v>
      </x:c>
      <x:c r="D130" s="276" t="str">
        <x:v>LendingClub hardship/workout 기록</x:v>
      </x:c>
      <x:c r="E130" s="291" t="str">
        <x:v>T6 연체·workout·회수·정산</x:v>
      </x:c>
      <x:c r="F130" s="276" t="str">
        <x:v>차주가 hardship plan에 들어갈 때 plan 시작일 기준 또는 plan 진행 중 생성되는 workout 정보.</x:v>
      </x:c>
      <x:c r="G130" s="276" t="str">
        <x:v>사후 사건·workout 정보</x:v>
      </x:c>
      <x:c r="H130" s="278" t="str">
        <x:v>아니오</x:v>
      </x:c>
      <x:c r="I130" s="278" t="str">
        <x:v>아니오</x:v>
      </x:c>
      <x:c r="J130" s="280" t="str">
        <x:v>제외: 사후정보</x:v>
      </x:c>
      <x:c r="K130" s="276" t="str">
        <x:v>hardship 발생·심각도 진단</x:v>
      </x:c>
      <x:c r="L130" s="276" t="str">
        <x:v>명백한 사후정보; predictor 사용 시 심각한 target leakage</x:v>
      </x:c>
      <x:c r="M130" s="281" t="str">
        <x:v>D1; S3</x:v>
      </x:c>
      <x:c r="N130" s="282" t="str">
        <x:v>확정</x:v>
      </x:c>
    </x:row>
    <x:row r="131" ht="56" customHeight="1">
      <x:c r="A131" s="274" t="n">
        <x:v>127</x:v>
      </x:c>
      <x:c r="B131" s="275" t="str">
        <x:v>hardship_type</x:v>
      </x:c>
      <x:c r="C131" s="276" t="str">
        <x:v>Describes the hardship plan offering</x:v>
      </x:c>
      <x:c r="D131" s="276" t="str">
        <x:v>LendingClub hardship/workout 기록</x:v>
      </x:c>
      <x:c r="E131" s="291" t="str">
        <x:v>T6 연체·workout·회수·정산</x:v>
      </x:c>
      <x:c r="F131" s="276" t="str">
        <x:v>차주가 hardship plan에 들어갈 때 plan 시작일 기준 또는 plan 진행 중 생성되는 workout 정보.</x:v>
      </x:c>
      <x:c r="G131" s="276" t="str">
        <x:v>사후 사건·workout 정보</x:v>
      </x:c>
      <x:c r="H131" s="278" t="str">
        <x:v>아니오</x:v>
      </x:c>
      <x:c r="I131" s="278" t="str">
        <x:v>아니오</x:v>
      </x:c>
      <x:c r="J131" s="280" t="str">
        <x:v>제외: 사후정보</x:v>
      </x:c>
      <x:c r="K131" s="276" t="str">
        <x:v>hardship 발생·심각도 진단</x:v>
      </x:c>
      <x:c r="L131" s="276" t="str">
        <x:v>명백한 사후정보; predictor 사용 시 심각한 target leakage</x:v>
      </x:c>
      <x:c r="M131" s="281" t="str">
        <x:v>D1; S3</x:v>
      </x:c>
      <x:c r="N131" s="282" t="str">
        <x:v>확정</x:v>
      </x:c>
    </x:row>
    <x:row r="132" ht="56" customHeight="1">
      <x:c r="A132" s="274" t="n">
        <x:v>128</x:v>
      </x:c>
      <x:c r="B132" s="275" t="str">
        <x:v>hardship_reason</x:v>
      </x:c>
      <x:c r="C132" s="276" t="str">
        <x:v>Describes the reason the hardship plan was offered</x:v>
      </x:c>
      <x:c r="D132" s="276" t="str">
        <x:v>LendingClub hardship/workout 기록</x:v>
      </x:c>
      <x:c r="E132" s="291" t="str">
        <x:v>T6 연체·workout·회수·정산</x:v>
      </x:c>
      <x:c r="F132" s="276" t="str">
        <x:v>차주가 hardship plan에 들어갈 때 plan 시작일 기준 또는 plan 진행 중 생성되는 workout 정보.</x:v>
      </x:c>
      <x:c r="G132" s="276" t="str">
        <x:v>사후 사건·workout 정보</x:v>
      </x:c>
      <x:c r="H132" s="278" t="str">
        <x:v>아니오</x:v>
      </x:c>
      <x:c r="I132" s="278" t="str">
        <x:v>아니오</x:v>
      </x:c>
      <x:c r="J132" s="280" t="str">
        <x:v>제외: 사후정보</x:v>
      </x:c>
      <x:c r="K132" s="276" t="str">
        <x:v>hardship 발생·심각도 진단</x:v>
      </x:c>
      <x:c r="L132" s="276" t="str">
        <x:v>명백한 사후정보; predictor 사용 시 심각한 target leakage</x:v>
      </x:c>
      <x:c r="M132" s="281" t="str">
        <x:v>D1; S3</x:v>
      </x:c>
      <x:c r="N132" s="282" t="str">
        <x:v>확정</x:v>
      </x:c>
    </x:row>
    <x:row r="133" ht="56" customHeight="1">
      <x:c r="A133" s="274" t="n">
        <x:v>129</x:v>
      </x:c>
      <x:c r="B133" s="275" t="str">
        <x:v>hardship_status</x:v>
      </x:c>
      <x:c r="C133" s="276" t="str">
        <x:v>Describes if the hardship plan is active, pending, canceled, completed, or broken</x:v>
      </x:c>
      <x:c r="D133" s="276" t="str">
        <x:v>LendingClub hardship/workout 기록</x:v>
      </x:c>
      <x:c r="E133" s="291" t="str">
        <x:v>T6 연체·workout·회수·정산</x:v>
      </x:c>
      <x:c r="F133" s="276" t="str">
        <x:v>차주가 hardship plan에 들어갈 때 plan 시작일 기준 또는 plan 진행 중 생성되는 workout 정보.</x:v>
      </x:c>
      <x:c r="G133" s="276" t="str">
        <x:v>사후 사건·workout 정보</x:v>
      </x:c>
      <x:c r="H133" s="278" t="str">
        <x:v>아니오</x:v>
      </x:c>
      <x:c r="I133" s="278" t="str">
        <x:v>아니오</x:v>
      </x:c>
      <x:c r="J133" s="280" t="str">
        <x:v>제외: 사후정보</x:v>
      </x:c>
      <x:c r="K133" s="276" t="str">
        <x:v>hardship 발생·심각도 진단</x:v>
      </x:c>
      <x:c r="L133" s="276" t="str">
        <x:v>명백한 사후정보; predictor 사용 시 심각한 target leakage</x:v>
      </x:c>
      <x:c r="M133" s="281" t="str">
        <x:v>D1; S3</x:v>
      </x:c>
      <x:c r="N133" s="282" t="str">
        <x:v>확정</x:v>
      </x:c>
    </x:row>
    <x:row r="134" ht="56" customHeight="1">
      <x:c r="A134" s="274" t="n">
        <x:v>130</x:v>
      </x:c>
      <x:c r="B134" s="275" t="str">
        <x:v>deferral_term</x:v>
      </x:c>
      <x:c r="C134" s="276" t="str">
        <x:v>Amount of months that the borrower is expected to pay less than the contractual monthly payment amount due to a hardship plan</x:v>
      </x:c>
      <x:c r="D134" s="276" t="str">
        <x:v>LendingClub hardship/workout 기록</x:v>
      </x:c>
      <x:c r="E134" s="291" t="str">
        <x:v>T6 연체·workout·회수·정산</x:v>
      </x:c>
      <x:c r="F134" s="276" t="str">
        <x:v>차주가 hardship plan에 들어갈 때 plan 시작일 기준 또는 plan 진행 중 생성되는 workout 정보.</x:v>
      </x:c>
      <x:c r="G134" s="276" t="str">
        <x:v>사후 사건·workout 정보</x:v>
      </x:c>
      <x:c r="H134" s="278" t="str">
        <x:v>아니오</x:v>
      </x:c>
      <x:c r="I134" s="278" t="str">
        <x:v>아니오</x:v>
      </x:c>
      <x:c r="J134" s="280" t="str">
        <x:v>제외: 사후정보</x:v>
      </x:c>
      <x:c r="K134" s="276" t="str">
        <x:v>hardship 발생·심각도 진단</x:v>
      </x:c>
      <x:c r="L134" s="276" t="str">
        <x:v>명백한 사후정보; predictor 사용 시 심각한 target leakage</x:v>
      </x:c>
      <x:c r="M134" s="281" t="str">
        <x:v>D1; S3</x:v>
      </x:c>
      <x:c r="N134" s="282" t="str">
        <x:v>확정</x:v>
      </x:c>
    </x:row>
    <x:row r="135" ht="56" customHeight="1">
      <x:c r="A135" s="274" t="n">
        <x:v>131</x:v>
      </x:c>
      <x:c r="B135" s="275" t="str">
        <x:v>hardship_amount</x:v>
      </x:c>
      <x:c r="C135" s="276" t="str">
        <x:v>The interest payment that the borrower has committed to make each month while they are on a hardship plan</x:v>
      </x:c>
      <x:c r="D135" s="276" t="str">
        <x:v>LendingClub hardship/workout 기록</x:v>
      </x:c>
      <x:c r="E135" s="291" t="str">
        <x:v>T6 연체·workout·회수·정산</x:v>
      </x:c>
      <x:c r="F135" s="276" t="str">
        <x:v>차주가 hardship plan에 들어갈 때 plan 시작일 기준 또는 plan 진행 중 생성되는 workout 정보.</x:v>
      </x:c>
      <x:c r="G135" s="276" t="str">
        <x:v>사후 사건·workout 정보</x:v>
      </x:c>
      <x:c r="H135" s="278" t="str">
        <x:v>아니오</x:v>
      </x:c>
      <x:c r="I135" s="278" t="str">
        <x:v>아니오</x:v>
      </x:c>
      <x:c r="J135" s="280" t="str">
        <x:v>제외: 사후정보</x:v>
      </x:c>
      <x:c r="K135" s="276" t="str">
        <x:v>hardship 발생·심각도 진단</x:v>
      </x:c>
      <x:c r="L135" s="276" t="str">
        <x:v>명백한 사후정보; predictor 사용 시 심각한 target leakage</x:v>
      </x:c>
      <x:c r="M135" s="281" t="str">
        <x:v>D1; S3</x:v>
      </x:c>
      <x:c r="N135" s="282" t="str">
        <x:v>확정</x:v>
      </x:c>
    </x:row>
    <x:row r="136" ht="56" customHeight="1">
      <x:c r="A136" s="274" t="n">
        <x:v>132</x:v>
      </x:c>
      <x:c r="B136" s="275" t="str">
        <x:v>hardship_start_date</x:v>
      </x:c>
      <x:c r="C136" s="276" t="str">
        <x:v>The start date of the hardship plan period</x:v>
      </x:c>
      <x:c r="D136" s="276" t="str">
        <x:v>LendingClub hardship/workout 기록</x:v>
      </x:c>
      <x:c r="E136" s="291" t="str">
        <x:v>T6 연체·workout·회수·정산</x:v>
      </x:c>
      <x:c r="F136" s="276" t="str">
        <x:v>차주가 hardship plan에 들어갈 때 plan 시작일 기준 또는 plan 진행 중 생성되는 workout 정보.</x:v>
      </x:c>
      <x:c r="G136" s="276" t="str">
        <x:v>사후 사건·workout 정보</x:v>
      </x:c>
      <x:c r="H136" s="278" t="str">
        <x:v>아니오</x:v>
      </x:c>
      <x:c r="I136" s="278" t="str">
        <x:v>아니오</x:v>
      </x:c>
      <x:c r="J136" s="280" t="str">
        <x:v>제외: 사후정보</x:v>
      </x:c>
      <x:c r="K136" s="276" t="str">
        <x:v>hardship 발생·심각도 진단</x:v>
      </x:c>
      <x:c r="L136" s="276" t="str">
        <x:v>명백한 사후정보; predictor 사용 시 심각한 target leakage</x:v>
      </x:c>
      <x:c r="M136" s="281" t="str">
        <x:v>D1; S3</x:v>
      </x:c>
      <x:c r="N136" s="282" t="str">
        <x:v>확정</x:v>
      </x:c>
    </x:row>
    <x:row r="137" ht="56" customHeight="1">
      <x:c r="A137" s="274" t="n">
        <x:v>133</x:v>
      </x:c>
      <x:c r="B137" s="275" t="str">
        <x:v>hardship_end_date</x:v>
      </x:c>
      <x:c r="C137" s="276" t="str">
        <x:v>The end date of the hardship plan period</x:v>
      </x:c>
      <x:c r="D137" s="276" t="str">
        <x:v>LendingClub hardship/workout 기록</x:v>
      </x:c>
      <x:c r="E137" s="291" t="str">
        <x:v>T6 연체·workout·회수·정산</x:v>
      </x:c>
      <x:c r="F137" s="276" t="str">
        <x:v>차주가 hardship plan에 들어갈 때 plan 시작일 기준 또는 plan 진행 중 생성되는 workout 정보.</x:v>
      </x:c>
      <x:c r="G137" s="276" t="str">
        <x:v>사후 사건·workout 정보</x:v>
      </x:c>
      <x:c r="H137" s="278" t="str">
        <x:v>아니오</x:v>
      </x:c>
      <x:c r="I137" s="278" t="str">
        <x:v>아니오</x:v>
      </x:c>
      <x:c r="J137" s="280" t="str">
        <x:v>제외: 사후정보</x:v>
      </x:c>
      <x:c r="K137" s="276" t="str">
        <x:v>hardship 발생·심각도 진단</x:v>
      </x:c>
      <x:c r="L137" s="276" t="str">
        <x:v>명백한 사후정보; predictor 사용 시 심각한 target leakage</x:v>
      </x:c>
      <x:c r="M137" s="281" t="str">
        <x:v>D1; S3</x:v>
      </x:c>
      <x:c r="N137" s="282" t="str">
        <x:v>확정</x:v>
      </x:c>
    </x:row>
    <x:row r="138" ht="56" customHeight="1">
      <x:c r="A138" s="274" t="n">
        <x:v>134</x:v>
      </x:c>
      <x:c r="B138" s="275" t="str">
        <x:v>payment_plan_start_date</x:v>
      </x:c>
      <x:c r="C138" s="276" t="str">
        <x:v>The day the first hardship plan payment is due. For example, if a borrower has a hardship plan period of 3 months, the start date is the start of the three-month period in which the borrower is allowed to make interest-only payments.</x:v>
      </x:c>
      <x:c r="D138" s="276" t="str">
        <x:v>LendingClub hardship/workout 기록</x:v>
      </x:c>
      <x:c r="E138" s="291" t="str">
        <x:v>T6 연체·workout·회수·정산</x:v>
      </x:c>
      <x:c r="F138" s="276" t="str">
        <x:v>차주가 hardship plan에 들어갈 때 plan 시작일 기준 또는 plan 진행 중 생성되는 workout 정보.</x:v>
      </x:c>
      <x:c r="G138" s="276" t="str">
        <x:v>사후 사건·workout 정보</x:v>
      </x:c>
      <x:c r="H138" s="278" t="str">
        <x:v>아니오</x:v>
      </x:c>
      <x:c r="I138" s="278" t="str">
        <x:v>아니오</x:v>
      </x:c>
      <x:c r="J138" s="280" t="str">
        <x:v>제외: 사후정보</x:v>
      </x:c>
      <x:c r="K138" s="276" t="str">
        <x:v>hardship 발생·심각도 진단</x:v>
      </x:c>
      <x:c r="L138" s="276" t="str">
        <x:v>명백한 사후정보; predictor 사용 시 심각한 target leakage</x:v>
      </x:c>
      <x:c r="M138" s="281" t="str">
        <x:v>D1; S3</x:v>
      </x:c>
      <x:c r="N138" s="282" t="str">
        <x:v>확정</x:v>
      </x:c>
    </x:row>
    <x:row r="139" ht="56" customHeight="1">
      <x:c r="A139" s="274" t="n">
        <x:v>135</x:v>
      </x:c>
      <x:c r="B139" s="275" t="str">
        <x:v>hardship_length</x:v>
      </x:c>
      <x:c r="C139" s="276" t="str">
        <x:v>The number of months the borrower will make smaller payments than normally obligated due to a hardship plan</x:v>
      </x:c>
      <x:c r="D139" s="276" t="str">
        <x:v>LendingClub hardship/workout 기록</x:v>
      </x:c>
      <x:c r="E139" s="291" t="str">
        <x:v>T6 연체·workout·회수·정산</x:v>
      </x:c>
      <x:c r="F139" s="276" t="str">
        <x:v>차주가 hardship plan에 들어갈 때 plan 시작일 기준 또는 plan 진행 중 생성되는 workout 정보.</x:v>
      </x:c>
      <x:c r="G139" s="276" t="str">
        <x:v>사후 사건·workout 정보</x:v>
      </x:c>
      <x:c r="H139" s="278" t="str">
        <x:v>아니오</x:v>
      </x:c>
      <x:c r="I139" s="278" t="str">
        <x:v>아니오</x:v>
      </x:c>
      <x:c r="J139" s="280" t="str">
        <x:v>제외: 사후정보</x:v>
      </x:c>
      <x:c r="K139" s="276" t="str">
        <x:v>hardship 발생·심각도 진단</x:v>
      </x:c>
      <x:c r="L139" s="276" t="str">
        <x:v>명백한 사후정보; predictor 사용 시 심각한 target leakage</x:v>
      </x:c>
      <x:c r="M139" s="281" t="str">
        <x:v>D1; S3</x:v>
      </x:c>
      <x:c r="N139" s="282" t="str">
        <x:v>확정</x:v>
      </x:c>
    </x:row>
    <x:row r="140" ht="56" customHeight="1">
      <x:c r="A140" s="274" t="n">
        <x:v>136</x:v>
      </x:c>
      <x:c r="B140" s="275" t="str">
        <x:v>hardship_dpd</x:v>
      </x:c>
      <x:c r="C140" s="276" t="str">
        <x:v>Account days past due as of the hardship plan start date</x:v>
      </x:c>
      <x:c r="D140" s="276" t="str">
        <x:v>LendingClub hardship/workout 기록</x:v>
      </x:c>
      <x:c r="E140" s="291" t="str">
        <x:v>T6 연체·workout·회수·정산</x:v>
      </x:c>
      <x:c r="F140" s="276" t="str">
        <x:v>차주가 hardship plan에 들어갈 때 plan 시작일 기준 또는 plan 진행 중 생성되는 workout 정보.</x:v>
      </x:c>
      <x:c r="G140" s="276" t="str">
        <x:v>사후 사건·workout 정보</x:v>
      </x:c>
      <x:c r="H140" s="278" t="str">
        <x:v>아니오</x:v>
      </x:c>
      <x:c r="I140" s="278" t="str">
        <x:v>아니오</x:v>
      </x:c>
      <x:c r="J140" s="280" t="str">
        <x:v>제외: 사후정보</x:v>
      </x:c>
      <x:c r="K140" s="276" t="str">
        <x:v>hardship 발생·심각도 진단</x:v>
      </x:c>
      <x:c r="L140" s="276" t="str">
        <x:v>명백한 사후정보; predictor 사용 시 심각한 target leakage</x:v>
      </x:c>
      <x:c r="M140" s="281" t="str">
        <x:v>D1; S3</x:v>
      </x:c>
      <x:c r="N140" s="282" t="str">
        <x:v>확정</x:v>
      </x:c>
    </x:row>
    <x:row r="141" ht="56" customHeight="1">
      <x:c r="A141" s="274" t="n">
        <x:v>137</x:v>
      </x:c>
      <x:c r="B141" s="275" t="str">
        <x:v>hardship_loan_status</x:v>
      </x:c>
      <x:c r="C141" s="276" t="str">
        <x:v>Loan Status as of the hardship plan start date</x:v>
      </x:c>
      <x:c r="D141" s="276" t="str">
        <x:v>LendingClub hardship/workout 기록</x:v>
      </x:c>
      <x:c r="E141" s="291" t="str">
        <x:v>T6 연체·workout·회수·정산</x:v>
      </x:c>
      <x:c r="F141" s="276" t="str">
        <x:v>차주가 hardship plan에 들어갈 때 plan 시작일 기준 또는 plan 진행 중 생성되는 workout 정보.</x:v>
      </x:c>
      <x:c r="G141" s="276" t="str">
        <x:v>사후 사건·workout 정보</x:v>
      </x:c>
      <x:c r="H141" s="278" t="str">
        <x:v>아니오</x:v>
      </x:c>
      <x:c r="I141" s="278" t="str">
        <x:v>아니오</x:v>
      </x:c>
      <x:c r="J141" s="280" t="str">
        <x:v>제외: 사후정보</x:v>
      </x:c>
      <x:c r="K141" s="276" t="str">
        <x:v>hardship 발생·심각도 진단</x:v>
      </x:c>
      <x:c r="L141" s="276" t="str">
        <x:v>명백한 사후정보; predictor 사용 시 심각한 target leakage</x:v>
      </x:c>
      <x:c r="M141" s="281" t="str">
        <x:v>D1; S3</x:v>
      </x:c>
      <x:c r="N141" s="282" t="str">
        <x:v>확정</x:v>
      </x:c>
    </x:row>
    <x:row r="142" ht="56" customHeight="1">
      <x:c r="A142" s="274" t="n">
        <x:v>138</x:v>
      </x:c>
      <x:c r="B142" s="275" t="str">
        <x:v>orig_projected_additional_accrued_interest</x:v>
      </x:c>
      <x:c r="C142" s="276" t="str">
        <x:v>The original projected additional interest amount that will accrue for the given hardship payment plan as of the Hardship Start Date. This field will be null if the borrower has broken their hardship payment plan.</x:v>
      </x:c>
      <x:c r="D142" s="276" t="str">
        <x:v>LendingClub hardship/workout 기록</x:v>
      </x:c>
      <x:c r="E142" s="291" t="str">
        <x:v>T6 연체·workout·회수·정산</x:v>
      </x:c>
      <x:c r="F142" s="276" t="str">
        <x:v>차주가 hardship plan에 들어갈 때 plan 시작일 기준 또는 plan 진행 중 생성되는 workout 정보.</x:v>
      </x:c>
      <x:c r="G142" s="276" t="str">
        <x:v>사후 사건·workout 정보</x:v>
      </x:c>
      <x:c r="H142" s="278" t="str">
        <x:v>아니오</x:v>
      </x:c>
      <x:c r="I142" s="278" t="str">
        <x:v>아니오</x:v>
      </x:c>
      <x:c r="J142" s="280" t="str">
        <x:v>제외: 사후정보</x:v>
      </x:c>
      <x:c r="K142" s="276" t="str">
        <x:v>hardship 발생·심각도 진단</x:v>
      </x:c>
      <x:c r="L142" s="276" t="str">
        <x:v>명백한 사후정보; predictor 사용 시 심각한 target leakage</x:v>
      </x:c>
      <x:c r="M142" s="281" t="str">
        <x:v>D1; S3</x:v>
      </x:c>
      <x:c r="N142" s="282" t="str">
        <x:v>확정</x:v>
      </x:c>
    </x:row>
    <x:row r="143" ht="56" customHeight="1">
      <x:c r="A143" s="274" t="n">
        <x:v>139</x:v>
      </x:c>
      <x:c r="B143" s="275" t="str">
        <x:v>hardship_payoff_balance_amount</x:v>
      </x:c>
      <x:c r="C143" s="276" t="str">
        <x:v>The payoff balance amount as of the hardship plan start date</x:v>
      </x:c>
      <x:c r="D143" s="276" t="str">
        <x:v>LendingClub hardship/workout 기록</x:v>
      </x:c>
      <x:c r="E143" s="291" t="str">
        <x:v>T6 연체·workout·회수·정산</x:v>
      </x:c>
      <x:c r="F143" s="276" t="str">
        <x:v>차주가 hardship plan에 들어갈 때 plan 시작일 기준 또는 plan 진행 중 생성되는 workout 정보.</x:v>
      </x:c>
      <x:c r="G143" s="276" t="str">
        <x:v>사후 사건·workout 정보</x:v>
      </x:c>
      <x:c r="H143" s="278" t="str">
        <x:v>아니오</x:v>
      </x:c>
      <x:c r="I143" s="278" t="str">
        <x:v>아니오</x:v>
      </x:c>
      <x:c r="J143" s="280" t="str">
        <x:v>제외: 사후정보</x:v>
      </x:c>
      <x:c r="K143" s="276" t="str">
        <x:v>hardship 발생·심각도 진단</x:v>
      </x:c>
      <x:c r="L143" s="276" t="str">
        <x:v>명백한 사후정보; predictor 사용 시 심각한 target leakage</x:v>
      </x:c>
      <x:c r="M143" s="281" t="str">
        <x:v>D1; S3</x:v>
      </x:c>
      <x:c r="N143" s="282" t="str">
        <x:v>확정</x:v>
      </x:c>
    </x:row>
    <x:row r="144" ht="56" customHeight="1">
      <x:c r="A144" s="274" t="n">
        <x:v>140</x:v>
      </x:c>
      <x:c r="B144" s="275" t="str">
        <x:v>hardship_last_payment_amount</x:v>
      </x:c>
      <x:c r="C144" s="276" t="str">
        <x:v>The last payment amount as of the hardship plan start date</x:v>
      </x:c>
      <x:c r="D144" s="276" t="str">
        <x:v>LendingClub hardship/workout 기록</x:v>
      </x:c>
      <x:c r="E144" s="291" t="str">
        <x:v>T6 연체·workout·회수·정산</x:v>
      </x:c>
      <x:c r="F144" s="276" t="str">
        <x:v>차주가 hardship plan에 들어갈 때 plan 시작일 기준 또는 plan 진행 중 생성되는 workout 정보.</x:v>
      </x:c>
      <x:c r="G144" s="276" t="str">
        <x:v>사후 사건·workout 정보</x:v>
      </x:c>
      <x:c r="H144" s="278" t="str">
        <x:v>아니오</x:v>
      </x:c>
      <x:c r="I144" s="278" t="str">
        <x:v>아니오</x:v>
      </x:c>
      <x:c r="J144" s="280" t="str">
        <x:v>제외: 사후정보</x:v>
      </x:c>
      <x:c r="K144" s="276" t="str">
        <x:v>hardship 발생·심각도 진단</x:v>
      </x:c>
      <x:c r="L144" s="276" t="str">
        <x:v>명백한 사후정보; predictor 사용 시 심각한 target leakage</x:v>
      </x:c>
      <x:c r="M144" s="281" t="str">
        <x:v>D1; S3</x:v>
      </x:c>
      <x:c r="N144" s="282" t="str">
        <x:v>확정</x:v>
      </x:c>
    </x:row>
    <x:row r="145" ht="56" customHeight="1">
      <x:c r="A145" s="292" t="n">
        <x:v>141</x:v>
      </x:c>
      <x:c r="B145" s="293" t="str">
        <x:v>debt_settlement_flag</x:v>
      </x:c>
      <x:c r="C145" s="294" t="str">
        <x:v>Flags whether or not the borrower, who has charged-off, is working with a debt-settlement company.</x:v>
      </x:c>
      <x:c r="D145" s="294" t="str">
        <x:v>LendingClub debt-settlement 기록</x:v>
      </x:c>
      <x:c r="E145" s="295" t="str">
        <x:v>T6 연체·workout·회수·정산</x:v>
      </x:c>
      <x:c r="F145" s="294" t="str">
        <x:v>charge-off된 차주가 debt-settlement 회사와 작업할 때 flag가 바뀌는 명백한 사후정보.</x:v>
      </x:c>
      <x:c r="G145" s="294" t="str">
        <x:v>사후 사건·workout 정보</x:v>
      </x:c>
      <x:c r="H145" s="296" t="str">
        <x:v>아니오</x:v>
      </x:c>
      <x:c r="I145" s="296" t="str">
        <x:v>아니오</x:v>
      </x:c>
      <x:c r="J145" s="297" t="str">
        <x:v>제외: 사후정보</x:v>
      </x:c>
      <x:c r="K145" s="294" t="str">
        <x:v>부도 후 손실심각도/정산 진단</x:v>
      </x:c>
      <x:c r="L145" s="294" t="str">
        <x:v>명백한 사후정보; predictor 사용 시 심각한 target leakage</x:v>
      </x:c>
      <x:c r="M145" s="298" t="str">
        <x:v>D1; S3</x:v>
      </x:c>
      <x:c r="N145" s="299" t="str">
        <x:v>확정</x:v>
      </x:c>
    </x:row>
  </x:sheetData>
  <x:mergeCells>
    <x:mergeCell ref="A1:N1"/>
    <x:mergeCell ref="A2:N2"/>
  </x:mergeCells>
  <x:pageMargins left="0.7" right="0.7" top="0.75" bottom="0.75" header="0.3" footer="0.3"/>
  <x:tableParts count="1">
    <x:tablePart xmlns:r="http://schemas.openxmlformats.org/officeDocument/2006/relationships" r:id="R0a695b221369416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55" hidden="0" customWidth="1"/>
    <x:col min="3" max="3" width="45" hidden="0" customWidth="1"/>
    <x:col min="4" max="4" width="34" hidden="0" customWidth="1"/>
    <x:col min="5" max="5" width="18" hidden="0" customWidth="1"/>
    <x:col min="6" max="6" width="18" hidden="0" customWidth="1"/>
    <x:col min="7" max="7" width="18" hidden="0" customWidth="1"/>
    <x:col min="8" max="8" width="18" hidden="0" customWidth="1"/>
  </x:cols>
  <x:sheetData>
    <x:row r="1" ht="34" customHeight="1">
      <x:c r="A1" s="227" t="str">
        <x:v>권장 시나리오와 모델 입력 계약</x:v>
      </x:c>
      <x:c r="B1" s="227" t="str">
        <x:v>권장 시나리오와 모델 입력 계약</x:v>
      </x:c>
      <x:c r="C1" s="227" t="str">
        <x:v>권장 시나리오와 모델 입력 계약</x:v>
      </x:c>
      <x:c r="D1" s="227" t="str">
        <x:v>권장 시나리오와 모델 입력 계약</x:v>
      </x:c>
      <x:c r="E1" s="227" t="str">
        <x:v>권장 시나리오와 모델 입력 계약</x:v>
      </x:c>
      <x:c r="F1" s="227" t="str">
        <x:v>권장 시나리오와 모델 입력 계약</x:v>
      </x:c>
      <x:c r="G1" s="227" t="str">
        <x:v>권장 시나리오와 모델 입력 계약</x:v>
      </x:c>
      <x:c r="H1" s="227" t="str">
        <x:v>권장 시나리오와 모델 입력 계약</x:v>
      </x:c>
    </x:row>
    <x:row r="2">
      <x:c r="A2" s="229"/>
      <x:c r="B2" s="229"/>
      <x:c r="C2" s="229"/>
      <x:c r="D2" s="229"/>
      <x:c r="E2" s="229"/>
      <x:c r="F2" s="229"/>
      <x:c r="G2" s="229"/>
      <x:c r="H2" s="229"/>
    </x:row>
    <x:row r="3" ht="24" customHeight="1">
      <x:c r="A3" s="230" t="str">
        <x:v>권장 시나리오: LendingClub Investment Strategy Desk (반사실적이지만 공시상 가능한 확장)</x:v>
      </x:c>
      <x:c r="B3" s="230" t="str">
        <x:v>권장 시나리오: LendingClub Investment Strategy Desk (반사실적이지만 공시상 가능한 확장)</x:v>
      </x:c>
      <x:c r="C3" s="230" t="str">
        <x:v>권장 시나리오: LendingClub Investment Strategy Desk (반사실적이지만 공시상 가능한 확장)</x:v>
      </x:c>
      <x:c r="D3" s="230" t="str">
        <x:v>권장 시나리오: LendingClub Investment Strategy Desk (반사실적이지만 공시상 가능한 확장)</x:v>
      </x:c>
      <x:c r="E3" s="230" t="str">
        <x:v>권장 시나리오: LendingClub Investment Strategy Desk (반사실적이지만 공시상 가능한 확장)</x:v>
      </x:c>
      <x:c r="F3" s="230" t="str">
        <x:v>권장 시나리오: LendingClub Investment Strategy Desk (반사실적이지만 공시상 가능한 확장)</x:v>
      </x:c>
      <x:c r="G3" s="230" t="str">
        <x:v>권장 시나리오: LendingClub Investment Strategy Desk (반사실적이지만 공시상 가능한 확장)</x:v>
      </x:c>
      <x:c r="H3" s="230" t="str">
        <x:v>권장 시나리오: LendingClub Investment Strategy Desk (반사실적이지만 공시상 가능한 확장)</x:v>
      </x:c>
    </x:row>
    <x:row r="4" ht="44" customHeight="1">
      <x:c r="A4" s="231" t="str">
        <x:v>의사결정 주체</x:v>
      </x:c>
      <x:c r="B4" s="232" t="str">
        <x:v>LendingClub 내부 투자전략 부서(회사 운용자금 배분)</x:v>
      </x:c>
      <x:c r="C4" s="232"/>
      <x:c r="D4" s="232"/>
      <x:c r="E4" s="232"/>
      <x:c r="F4" s="232"/>
      <x:c r="G4" s="232"/>
      <x:c r="H4" s="233"/>
    </x:row>
    <x:row r="5" ht="44" customHeight="1">
      <x:c r="A5" s="234" t="str">
        <x:v>의사결정 모집단</x:v>
      </x:c>
      <x:c r="B5" s="235" t="str">
        <x:v>LC 기존 심사를 통과해 등급·금리·계약조건이 붙고 marketplace에 게시된 Standard Program 대출</x:v>
      </x:c>
      <x:c r="C5" s="235"/>
      <x:c r="D5" s="235"/>
      <x:c r="E5" s="235"/>
      <x:c r="F5" s="235"/>
      <x:c r="G5" s="235"/>
      <x:c r="H5" s="236"/>
    </x:row>
    <x:row r="6" ht="44" customHeight="1">
      <x:c r="A6" s="234" t="str">
        <x:v>의사결정 시점</x:v>
      </x:c>
      <x:c r="B6" s="235" t="str">
        <x:v>T3 listing/API에서 투자주문을 넣기 직전 — funded/issue/상환 결과가 발생하기 전</x:v>
      </x:c>
      <x:c r="C6" s="235"/>
      <x:c r="D6" s="235"/>
      <x:c r="E6" s="235"/>
      <x:c r="F6" s="235"/>
      <x:c r="G6" s="235"/>
      <x:c r="H6" s="236"/>
    </x:row>
    <x:row r="7" ht="44" customHeight="1">
      <x:c r="A7" s="234" t="str">
        <x:v>행동</x:v>
      </x:c>
      <x:c r="B7" s="235" t="str">
        <x:v>각 listed loan에 회사 자금을 투자할지 말지와 배분액 결정; 미투자 자금은 무위험자산에 보유</x:v>
      </x:c>
      <x:c r="C7" s="235"/>
      <x:c r="D7" s="235"/>
      <x:c r="E7" s="235"/>
      <x:c r="F7" s="235"/>
      <x:c r="G7" s="235"/>
      <x:c r="H7" s="236"/>
    </x:row>
    <x:row r="8" ht="44" customHeight="1">
      <x:c r="A8" s="234" t="str">
        <x:v>모델 입력</x:v>
      </x:c>
      <x:c r="B8" s="235" t="str">
        <x:v>같은 주문시점에 실제 listing/API에서 관측 가능한 신청·credit·LC score·계약·검증·listing 변수</x:v>
      </x:c>
      <x:c r="C8" s="235"/>
      <x:c r="D8" s="235"/>
      <x:c r="E8" s="235"/>
      <x:c r="F8" s="235"/>
      <x:c r="G8" s="235"/>
      <x:c r="H8" s="236"/>
    </x:row>
    <x:row r="9" ht="44" customHeight="1">
      <x:c r="A9" s="234" t="str">
        <x:v>모델 출력</x:v>
      </x:c>
      <x:c r="B9" s="235" t="str">
        <x:v>PD 또는 expected loss/return; 최종적으로 포트폴리오 위험대비수익(Sharpe)을 높이는 selection/allocation</x:v>
      </x:c>
      <x:c r="C9" s="235"/>
      <x:c r="D9" s="235"/>
      <x:c r="E9" s="235"/>
      <x:c r="F9" s="235"/>
      <x:c r="G9" s="235"/>
      <x:c r="H9" s="236"/>
    </x:row>
    <x:row r="10" ht="44" customHeight="1">
      <x:c r="A10" s="237" t="str">
        <x:v>역사적 정합성</x:v>
      </x:c>
      <x:c r="B10" s="238" t="str">
        <x:v>LC는 보통 제3자 자금을 연결했지만, SEC 공시는 marketplace 균형·상품시험 등을 위해 자기자본으로 일부 loan funding이 가능했다고 설명</x:v>
      </x:c>
      <x:c r="C10" s="238"/>
      <x:c r="D10" s="238"/>
      <x:c r="E10" s="238"/>
      <x:c r="F10" s="238"/>
      <x:c r="G10" s="238"/>
      <x:c r="H10" s="239"/>
    </x:row>
    <x:row r="11">
      <x:c r="A11" s="229"/>
      <x:c r="B11" s="229"/>
      <x:c r="C11" s="229"/>
      <x:c r="D11" s="229"/>
      <x:c r="E11" s="229"/>
      <x:c r="F11" s="229"/>
      <x:c r="G11" s="229"/>
      <x:c r="H11" s="229"/>
    </x:row>
    <x:row r="12" ht="24" customHeight="1">
      <x:c r="A12" s="230" t="str">
        <x:v>Feature contract</x:v>
      </x:c>
      <x:c r="B12" s="230" t="str">
        <x:v>Feature contract</x:v>
      </x:c>
      <x:c r="C12" s="230" t="str">
        <x:v>Feature contract</x:v>
      </x:c>
      <x:c r="D12" s="230" t="str">
        <x:v>Feature contract</x:v>
      </x:c>
      <x:c r="E12" s="230" t="str">
        <x:v>Feature contract</x:v>
      </x:c>
      <x:c r="F12" s="230" t="str">
        <x:v>Feature contract</x:v>
      </x:c>
      <x:c r="G12" s="230" t="str">
        <x:v>Feature contract</x:v>
      </x:c>
      <x:c r="H12" s="230" t="str">
        <x:v>Feature contract</x:v>
      </x:c>
    </x:row>
    <x:row r="13">
      <x:c r="A13" s="240" t="str">
        <x:v>구분</x:v>
      </x:c>
      <x:c r="B13" s="241" t="str">
        <x:v>규칙</x:v>
      </x:c>
      <x:c r="C13" s="241" t="str">
        <x:v>대표 칼럼</x:v>
      </x:c>
      <x:c r="D13" s="242" t="str">
        <x:v>처리</x:v>
      </x:c>
      <x:c r="E13" s="229"/>
      <x:c r="F13" s="229"/>
      <x:c r="G13" s="229"/>
      <x:c r="H13" s="229"/>
    </x:row>
    <x:row r="14" ht="54" customHeight="1">
      <x:c r="A14" s="250" t="str">
        <x:v>즉시 후보</x:v>
      </x:c>
      <x:c r="B14" s="235" t="str">
        <x:v>T0~T3에서 주문 전에 확정되고 식별자가 아닌 값</x:v>
      </x:c>
      <x:c r="C14" s="235" t="str">
        <x:v>loan_amnt, term, int_rate, grade, annual_inc, FICO, DTI, credit metrics</x:v>
      </x:c>
      <x:c r="D14" s="236" t="str">
        <x:v>102개 후보</x:v>
      </x:c>
      <x:c r="E14" s="229"/>
      <x:c r="F14" s="229"/>
      <x:c r="G14" s="229"/>
      <x:c r="H14" s="229"/>
    </x:row>
    <x:row r="15" ht="54" customHeight="1">
      <x:c r="A15" s="250" t="str">
        <x:v>LC score 신호</x:v>
      </x:c>
      <x:c r="B15" s="235" t="str">
        <x:v>grade/sub_grade/int_rate는 승인모델에는 내생적이지만 투자선별 모델에는 가용</x:v>
      </x:c>
      <x:c r="C15" s="235" t="str">
        <x:v>grade, sub_grade, int_rate</x:v>
      </x:c>
      <x:c r="D15" s="236" t="str">
        <x:v>포함 가능; LC baseline과의 비교/ablations 권장</x:v>
      </x:c>
      <x:c r="E15" s="229"/>
      <x:c r="F15" s="229"/>
      <x:c r="G15" s="229"/>
      <x:c r="H15" s="229"/>
    </x:row>
    <x:row r="16" ht="54" customHeight="1">
      <x:c r="A16" s="250" t="str">
        <x:v>동적 commitment</x:v>
      </x:c>
      <x:c r="B16" s="235" t="str">
        <x:v>동일한 투자주문 timestamp의 값이 별도 로그로 있을 때만</x:v>
      </x:c>
      <x:c r="C16" s="235" t="str">
        <x:v>funded_amnt, funded_amnt_inv</x:v>
      </x:c>
      <x:c r="D16" s="236" t="str">
        <x:v>현재 정적 CSV에서는 제외</x:v>
      </x:c>
      <x:c r="E16" s="229"/>
      <x:c r="F16" s="229"/>
      <x:c r="G16" s="229"/>
      <x:c r="H16" s="229"/>
    </x:row>
    <x:row r="17" ht="54" customHeight="1">
      <x:c r="A17" s="250" t="str">
        <x:v>식별/정책</x:v>
      </x:c>
      <x:c r="B17" s="235" t="str">
        <x:v>식별자 암기와 정책 regime 착시를 막음</x:v>
      </x:c>
      <x:c r="C17" s="235" t="str">
        <x:v>id, url, policy_code</x:v>
      </x:c>
      <x:c r="D17" s="236" t="str">
        <x:v>제외 또는 cohort/filter 전용</x:v>
      </x:c>
      <x:c r="E17" s="229"/>
      <x:c r="F17" s="229"/>
      <x:c r="G17" s="229"/>
      <x:c r="H17" s="229"/>
    </x:row>
    <x:row r="18" ht="54" customHeight="1">
      <x:c r="A18" s="250" t="str">
        <x:v>시간 분할</x:v>
      </x:c>
      <x:c r="B18" s="235" t="str">
        <x:v>결정 뒤 생성되므로 feature는 아니지만 chronological split에 사용</x:v>
      </x:c>
      <x:c r="C18" s="235" t="str">
        <x:v>issue_d</x:v>
      </x:c>
      <x:c r="D18" s="236" t="str">
        <x:v>Train/Validation/Test 시간분할 전용</x:v>
      </x:c>
      <x:c r="E18" s="229"/>
      <x:c r="F18" s="229"/>
      <x:c r="G18" s="229"/>
      <x:c r="H18" s="229"/>
    </x:row>
    <x:row r="19" ht="54" customHeight="1">
      <x:c r="A19" s="251" t="str">
        <x:v>사후 결과</x:v>
      </x:c>
      <x:c r="B19" s="238" t="str">
        <x:v>issue 이후 갱신되는 모든 값</x:v>
      </x:c>
      <x:c r="C19" s="238" t="str">
        <x:v>loan_status, payments, balances, last FICO, hardship, recovery</x:v>
      </x:c>
      <x:c r="D19" s="239" t="str">
        <x:v>predictor 금지; target/성과 계산만</x:v>
      </x:c>
      <x:c r="E19" s="229"/>
      <x:c r="F19" s="229"/>
      <x:c r="G19" s="229"/>
      <x:c r="H19" s="229"/>
    </x:row>
    <x:row r="20">
      <x:c r="A20" s="229"/>
      <x:c r="B20" s="229"/>
      <x:c r="C20" s="229"/>
      <x:c r="D20" s="229"/>
      <x:c r="E20" s="229"/>
      <x:c r="F20" s="229"/>
      <x:c r="G20" s="229"/>
      <x:c r="H20" s="229"/>
    </x:row>
    <x:row r="21" ht="24" customHeight="1">
      <x:c r="A21" s="230" t="str">
        <x:v>성과·target 설계 주의</x:v>
      </x:c>
      <x:c r="B21" s="230" t="str">
        <x:v>성과·target 설계 주의</x:v>
      </x:c>
      <x:c r="C21" s="230" t="str">
        <x:v>성과·target 설계 주의</x:v>
      </x:c>
      <x:c r="D21" s="230" t="str">
        <x:v>성과·target 설계 주의</x:v>
      </x:c>
      <x:c r="E21" s="230" t="str">
        <x:v>성과·target 설계 주의</x:v>
      </x:c>
      <x:c r="F21" s="230" t="str">
        <x:v>성과·target 설계 주의</x:v>
      </x:c>
      <x:c r="G21" s="230" t="str">
        <x:v>성과·target 설계 주의</x:v>
      </x:c>
      <x:c r="H21" s="230" t="str">
        <x:v>성과·target 설계 주의</x:v>
      </x:c>
    </x:row>
    <x:row r="22" ht="30" customHeight="1">
      <x:c r="A22" s="252" t="str">
        <x:v>1. 단순 default classifier라면 최종 관측된 Fully Paid와 Charged Off를 label로 삼고, Current/In Grace/Late는 우측검열로 처리한다.
2. Sharpe 최적화라면 predictor와 별도로 funded_amnt(초기 exposure), total_rec_prncp/int/late_fee, recoveries, collection_recovery_fee 등을 사후 성과 산출에 사용한다.
3. 그러나 CSV에는 각 월별 실제 payment date/amount가 없다. last_pymnt_d와 누적액만으로 정확한 IRR/XIRR은 복원 불가하다. 계약상 schedule을 가정한 근사 IRR 또는 누적 수익배수/연환산 수익률을 명확히 구분해야 한다.
4. 2020 snapshot의 Current 대출을 포함해 성과를 재면 짧은 관측기간과 잔존원금 때문에 최신 cohort가 구조적으로 왜곡된다. vintage별 동일 관측창 또는 survival/expected cash-flow 접근이 필요하다.</x:v>
      </x:c>
      <x:c r="B22" s="253"/>
      <x:c r="C22" s="253"/>
      <x:c r="D22" s="253"/>
      <x:c r="E22" s="253"/>
      <x:c r="F22" s="253"/>
      <x:c r="G22" s="253"/>
      <x:c r="H22" s="254"/>
    </x:row>
    <x:row r="23" ht="30" customHeight="1">
      <x:c r="A23" s="255"/>
      <x:c r="B23" s="256"/>
      <x:c r="C23" s="256"/>
      <x:c r="D23" s="256"/>
      <x:c r="E23" s="256"/>
      <x:c r="F23" s="256"/>
      <x:c r="G23" s="256"/>
      <x:c r="H23" s="257"/>
    </x:row>
    <x:row r="24" ht="30" customHeight="1">
      <x:c r="A24" s="255"/>
      <x:c r="B24" s="256"/>
      <x:c r="C24" s="256"/>
      <x:c r="D24" s="256"/>
      <x:c r="E24" s="256"/>
      <x:c r="F24" s="256"/>
      <x:c r="G24" s="256"/>
      <x:c r="H24" s="257"/>
    </x:row>
    <x:row r="25" ht="30" customHeight="1">
      <x:c r="A25" s="255"/>
      <x:c r="B25" s="256"/>
      <x:c r="C25" s="256"/>
      <x:c r="D25" s="256"/>
      <x:c r="E25" s="256"/>
      <x:c r="F25" s="256"/>
      <x:c r="G25" s="256"/>
      <x:c r="H25" s="257"/>
    </x:row>
    <x:row r="26" ht="30" customHeight="1">
      <x:c r="A26" s="258"/>
      <x:c r="B26" s="259"/>
      <x:c r="C26" s="259"/>
      <x:c r="D26" s="259"/>
      <x:c r="E26" s="259"/>
      <x:c r="F26" s="259"/>
      <x:c r="G26" s="259"/>
      <x:c r="H26" s="260"/>
    </x:row>
    <x:row r="27">
      <x:c r="A27" s="229"/>
      <x:c r="B27" s="229"/>
      <x:c r="C27" s="229"/>
      <x:c r="D27" s="229"/>
      <x:c r="E27" s="229"/>
      <x:c r="F27" s="229"/>
      <x:c r="G27" s="229"/>
      <x:c r="H27" s="229"/>
    </x:row>
    <x:row r="28" ht="24" customHeight="1">
      <x:c r="A28" s="230" t="str">
        <x:v>즉시 후보 Feature 목록 (T3 기준)</x:v>
      </x:c>
      <x:c r="B28" s="230" t="str">
        <x:v>즉시 후보 Feature 목록 (T3 기준)</x:v>
      </x:c>
      <x:c r="C28" s="230" t="str">
        <x:v>즉시 후보 Feature 목록 (T3 기준)</x:v>
      </x:c>
      <x:c r="D28" s="230" t="str">
        <x:v>즉시 후보 Feature 목록 (T3 기준)</x:v>
      </x:c>
      <x:c r="E28" s="230" t="str">
        <x:v>즉시 후보 Feature 목록 (T3 기준)</x:v>
      </x:c>
      <x:c r="F28" s="230" t="str">
        <x:v>즉시 후보 Feature 목록 (T3 기준)</x:v>
      </x:c>
      <x:c r="G28" s="230" t="str">
        <x:v>즉시 후보 Feature 목록 (T3 기준)</x:v>
      </x:c>
      <x:c r="H28" s="230" t="str">
        <x:v>즉시 후보 Feature 목록 (T3 기준)</x:v>
      </x:c>
    </x:row>
    <x:row r="29">
      <x:c r="A29" s="300" t="str">
        <x:v>loan_amnt</x:v>
      </x:c>
      <x:c r="B29" s="301" t="str">
        <x:v>revol_util</x:v>
      </x:c>
      <x:c r="C29" s="301" t="str">
        <x:v>inq_last_12m</x:v>
      </x:c>
      <x:c r="D29" s="302" t="str">
        <x:v>num_tl_120dpd_2m</x:v>
      </x:c>
      <x:c r="E29" s="229"/>
      <x:c r="F29" s="229"/>
      <x:c r="G29" s="229"/>
      <x:c r="H29" s="229"/>
    </x:row>
    <x:row r="30">
      <x:c r="A30" s="303" t="str">
        <x:v>term</x:v>
      </x:c>
      <x:c r="B30" s="304" t="str">
        <x:v>total_acc</x:v>
      </x:c>
      <x:c r="C30" s="304" t="str">
        <x:v>acc_open_past_24mths</x:v>
      </x:c>
      <x:c r="D30" s="305" t="str">
        <x:v>num_tl_30dpd</x:v>
      </x:c>
      <x:c r="E30" s="229"/>
      <x:c r="F30" s="229"/>
      <x:c r="G30" s="229"/>
      <x:c r="H30" s="229"/>
    </x:row>
    <x:row r="31">
      <x:c r="A31" s="303" t="str">
        <x:v>int_rate</x:v>
      </x:c>
      <x:c r="B31" s="304" t="str">
        <x:v>initial_list_status</x:v>
      </x:c>
      <x:c r="C31" s="304" t="str">
        <x:v>avg_cur_bal</x:v>
      </x:c>
      <x:c r="D31" s="305" t="str">
        <x:v>num_tl_90g_dpd_24m</x:v>
      </x:c>
      <x:c r="E31" s="229"/>
      <x:c r="F31" s="229"/>
      <x:c r="G31" s="229"/>
      <x:c r="H31" s="229"/>
    </x:row>
    <x:row r="32">
      <x:c r="A32" s="303" t="str">
        <x:v>installment</x:v>
      </x:c>
      <x:c r="B32" s="304" t="str">
        <x:v>collections_12_mths_ex_med</x:v>
      </x:c>
      <x:c r="C32" s="304" t="str">
        <x:v>bc_open_to_buy</x:v>
      </x:c>
      <x:c r="D32" s="305" t="str">
        <x:v>num_tl_op_past_12m</x:v>
      </x:c>
      <x:c r="E32" s="229"/>
      <x:c r="F32" s="229"/>
      <x:c r="G32" s="229"/>
      <x:c r="H32" s="229"/>
    </x:row>
    <x:row r="33">
      <x:c r="A33" s="303" t="str">
        <x:v>grade</x:v>
      </x:c>
      <x:c r="B33" s="304" t="str">
        <x:v>mths_since_last_major_derog</x:v>
      </x:c>
      <x:c r="C33" s="304" t="str">
        <x:v>bc_util</x:v>
      </x:c>
      <x:c r="D33" s="305" t="str">
        <x:v>pct_tl_nvr_dlq</x:v>
      </x:c>
      <x:c r="E33" s="229"/>
      <x:c r="F33" s="229"/>
      <x:c r="G33" s="229"/>
      <x:c r="H33" s="229"/>
    </x:row>
    <x:row r="34">
      <x:c r="A34" s="303" t="str">
        <x:v>sub_grade</x:v>
      </x:c>
      <x:c r="B34" s="304" t="str">
        <x:v>application_type</x:v>
      </x:c>
      <x:c r="C34" s="304" t="str">
        <x:v>chargeoff_within_12_mths</x:v>
      </x:c>
      <x:c r="D34" s="305" t="str">
        <x:v>percent_bc_gt_75</x:v>
      </x:c>
      <x:c r="E34" s="229"/>
      <x:c r="F34" s="229"/>
      <x:c r="G34" s="229"/>
      <x:c r="H34" s="229"/>
    </x:row>
    <x:row r="35">
      <x:c r="A35" s="303" t="str">
        <x:v>emp_title</x:v>
      </x:c>
      <x:c r="B35" s="304" t="str">
        <x:v>annual_inc_joint</x:v>
      </x:c>
      <x:c r="C35" s="304" t="str">
        <x:v>delinq_amnt</x:v>
      </x:c>
      <x:c r="D35" s="305" t="str">
        <x:v>pub_rec_bankruptcies</x:v>
      </x:c>
      <x:c r="E35" s="229"/>
      <x:c r="F35" s="229"/>
      <x:c r="G35" s="229"/>
      <x:c r="H35" s="229"/>
    </x:row>
    <x:row r="36">
      <x:c r="A36" s="303" t="str">
        <x:v>emp_length</x:v>
      </x:c>
      <x:c r="B36" s="304" t="str">
        <x:v>dti_joint</x:v>
      </x:c>
      <x:c r="C36" s="304" t="str">
        <x:v>mo_sin_old_il_acct</x:v>
      </x:c>
      <x:c r="D36" s="305" t="str">
        <x:v>tax_liens</x:v>
      </x:c>
      <x:c r="E36" s="229"/>
      <x:c r="F36" s="229"/>
      <x:c r="G36" s="229"/>
      <x:c r="H36" s="229"/>
    </x:row>
    <x:row r="37">
      <x:c r="A37" s="303" t="str">
        <x:v>home_ownership</x:v>
      </x:c>
      <x:c r="B37" s="304" t="str">
        <x:v>verification_status_joint</x:v>
      </x:c>
      <x:c r="C37" s="304" t="str">
        <x:v>mo_sin_old_rev_tl_op</x:v>
      </x:c>
      <x:c r="D37" s="305" t="str">
        <x:v>tot_hi_cred_lim</x:v>
      </x:c>
      <x:c r="E37" s="229"/>
      <x:c r="F37" s="229"/>
      <x:c r="G37" s="229"/>
      <x:c r="H37" s="229"/>
    </x:row>
    <x:row r="38">
      <x:c r="A38" s="303" t="str">
        <x:v>annual_inc</x:v>
      </x:c>
      <x:c r="B38" s="304" t="str">
        <x:v>acc_now_delinq</x:v>
      </x:c>
      <x:c r="C38" s="304" t="str">
        <x:v>mo_sin_rcnt_rev_tl_op</x:v>
      </x:c>
      <x:c r="D38" s="305" t="str">
        <x:v>total_bal_ex_mort</x:v>
      </x:c>
      <x:c r="E38" s="229"/>
      <x:c r="F38" s="229"/>
      <x:c r="G38" s="229"/>
      <x:c r="H38" s="229"/>
    </x:row>
    <x:row r="39">
      <x:c r="A39" s="303" t="str">
        <x:v>verification_status</x:v>
      </x:c>
      <x:c r="B39" s="304" t="str">
        <x:v>tot_coll_amt</x:v>
      </x:c>
      <x:c r="C39" s="304" t="str">
        <x:v>mo_sin_rcnt_tl</x:v>
      </x:c>
      <x:c r="D39" s="305" t="str">
        <x:v>total_bc_limit</x:v>
      </x:c>
      <x:c r="E39" s="229"/>
      <x:c r="F39" s="229"/>
      <x:c r="G39" s="229"/>
      <x:c r="H39" s="229"/>
    </x:row>
    <x:row r="40">
      <x:c r="A40" s="303" t="str">
        <x:v>purpose</x:v>
      </x:c>
      <x:c r="B40" s="304" t="str">
        <x:v>tot_cur_bal</x:v>
      </x:c>
      <x:c r="C40" s="304" t="str">
        <x:v>mort_acc</x:v>
      </x:c>
      <x:c r="D40" s="305" t="str">
        <x:v>total_il_high_credit_limit</x:v>
      </x:c>
      <x:c r="E40" s="229"/>
      <x:c r="F40" s="229"/>
      <x:c r="G40" s="229"/>
      <x:c r="H40" s="229"/>
    </x:row>
    <x:row r="41">
      <x:c r="A41" s="303" t="str">
        <x:v>title</x:v>
      </x:c>
      <x:c r="B41" s="304" t="str">
        <x:v>open_acc_6m</x:v>
      </x:c>
      <x:c r="C41" s="304" t="str">
        <x:v>mths_since_recent_bc</x:v>
      </x:c>
      <x:c r="D41" s="305" t="str">
        <x:v>revol_bal_joint</x:v>
      </x:c>
      <x:c r="E41" s="229"/>
      <x:c r="F41" s="229"/>
      <x:c r="G41" s="229"/>
      <x:c r="H41" s="229"/>
    </x:row>
    <x:row r="42">
      <x:c r="A42" s="303" t="str">
        <x:v>zip_code</x:v>
      </x:c>
      <x:c r="B42" s="304" t="str">
        <x:v>open_act_il</x:v>
      </x:c>
      <x:c r="C42" s="304" t="str">
        <x:v>mths_since_recent_bc_dlq</x:v>
      </x:c>
      <x:c r="D42" s="305" t="str">
        <x:v>sec_app_fico_range_low</x:v>
      </x:c>
      <x:c r="E42" s="229"/>
      <x:c r="F42" s="229"/>
      <x:c r="G42" s="229"/>
      <x:c r="H42" s="229"/>
    </x:row>
    <x:row r="43">
      <x:c r="A43" s="303" t="str">
        <x:v>addr_state</x:v>
      </x:c>
      <x:c r="B43" s="304" t="str">
        <x:v>open_il_12m</x:v>
      </x:c>
      <x:c r="C43" s="304" t="str">
        <x:v>mths_since_recent_inq</x:v>
      </x:c>
      <x:c r="D43" s="305" t="str">
        <x:v>sec_app_fico_range_high</x:v>
      </x:c>
      <x:c r="E43" s="229"/>
      <x:c r="F43" s="229"/>
      <x:c r="G43" s="229"/>
      <x:c r="H43" s="229"/>
    </x:row>
    <x:row r="44">
      <x:c r="A44" s="303" t="str">
        <x:v>dti</x:v>
      </x:c>
      <x:c r="B44" s="304" t="str">
        <x:v>open_il_24m</x:v>
      </x:c>
      <x:c r="C44" s="304" t="str">
        <x:v>mths_since_recent_revol_delinq</x:v>
      </x:c>
      <x:c r="D44" s="305" t="str">
        <x:v>sec_app_earliest_cr_line</x:v>
      </x:c>
      <x:c r="E44" s="229"/>
      <x:c r="F44" s="229"/>
      <x:c r="G44" s="229"/>
      <x:c r="H44" s="229"/>
    </x:row>
    <x:row r="45">
      <x:c r="A45" s="303" t="str">
        <x:v>delinq_2yrs</x:v>
      </x:c>
      <x:c r="B45" s="304" t="str">
        <x:v>mths_since_rcnt_il</x:v>
      </x:c>
      <x:c r="C45" s="304" t="str">
        <x:v>num_accts_ever_120_pd</x:v>
      </x:c>
      <x:c r="D45" s="305" t="str">
        <x:v>sec_app_inq_last_6mths</x:v>
      </x:c>
      <x:c r="E45" s="229"/>
      <x:c r="F45" s="229"/>
      <x:c r="G45" s="229"/>
      <x:c r="H45" s="229"/>
    </x:row>
    <x:row r="46">
      <x:c r="A46" s="303" t="str">
        <x:v>earliest_cr_line</x:v>
      </x:c>
      <x:c r="B46" s="304" t="str">
        <x:v>total_bal_il</x:v>
      </x:c>
      <x:c r="C46" s="304" t="str">
        <x:v>num_actv_bc_tl</x:v>
      </x:c>
      <x:c r="D46" s="305" t="str">
        <x:v>sec_app_mort_acc</x:v>
      </x:c>
      <x:c r="E46" s="229"/>
      <x:c r="F46" s="229"/>
      <x:c r="G46" s="229"/>
      <x:c r="H46" s="229"/>
    </x:row>
    <x:row r="47">
      <x:c r="A47" s="303" t="str">
        <x:v>fico_range_low</x:v>
      </x:c>
      <x:c r="B47" s="304" t="str">
        <x:v>il_util</x:v>
      </x:c>
      <x:c r="C47" s="304" t="str">
        <x:v>num_actv_rev_tl</x:v>
      </x:c>
      <x:c r="D47" s="305" t="str">
        <x:v>sec_app_open_acc</x:v>
      </x:c>
      <x:c r="E47" s="229"/>
      <x:c r="F47" s="229"/>
      <x:c r="G47" s="229"/>
      <x:c r="H47" s="229"/>
    </x:row>
    <x:row r="48">
      <x:c r="A48" s="303" t="str">
        <x:v>fico_range_high</x:v>
      </x:c>
      <x:c r="B48" s="304" t="str">
        <x:v>open_rv_12m</x:v>
      </x:c>
      <x:c r="C48" s="304" t="str">
        <x:v>num_bc_sats</x:v>
      </x:c>
      <x:c r="D48" s="305" t="str">
        <x:v>sec_app_revol_util</x:v>
      </x:c>
      <x:c r="E48" s="229"/>
      <x:c r="F48" s="229"/>
      <x:c r="G48" s="229"/>
      <x:c r="H48" s="229"/>
    </x:row>
    <x:row r="49">
      <x:c r="A49" s="303" t="str">
        <x:v>inq_last_6mths</x:v>
      </x:c>
      <x:c r="B49" s="304" t="str">
        <x:v>open_rv_24m</x:v>
      </x:c>
      <x:c r="C49" s="304" t="str">
        <x:v>num_bc_tl</x:v>
      </x:c>
      <x:c r="D49" s="305" t="str">
        <x:v>sec_app_open_act_il</x:v>
      </x:c>
      <x:c r="E49" s="229"/>
      <x:c r="F49" s="229"/>
      <x:c r="G49" s="229"/>
      <x:c r="H49" s="229"/>
    </x:row>
    <x:row r="50">
      <x:c r="A50" s="303" t="str">
        <x:v>mths_since_last_delinq</x:v>
      </x:c>
      <x:c r="B50" s="304" t="str">
        <x:v>max_bal_bc</x:v>
      </x:c>
      <x:c r="C50" s="304" t="str">
        <x:v>num_il_tl</x:v>
      </x:c>
      <x:c r="D50" s="305" t="str">
        <x:v>sec_app_num_rev_accts</x:v>
      </x:c>
      <x:c r="E50" s="229"/>
      <x:c r="F50" s="229"/>
      <x:c r="G50" s="229"/>
      <x:c r="H50" s="229"/>
    </x:row>
    <x:row r="51">
      <x:c r="A51" s="303" t="str">
        <x:v>mths_since_last_record</x:v>
      </x:c>
      <x:c r="B51" s="304" t="str">
        <x:v>all_util</x:v>
      </x:c>
      <x:c r="C51" s="304" t="str">
        <x:v>num_op_rev_tl</x:v>
      </x:c>
      <x:c r="D51" s="305" t="str">
        <x:v>sec_app_chargeoff_within_12_mths</x:v>
      </x:c>
      <x:c r="E51" s="229"/>
      <x:c r="F51" s="229"/>
      <x:c r="G51" s="229"/>
      <x:c r="H51" s="229"/>
    </x:row>
    <x:row r="52">
      <x:c r="A52" s="303" t="str">
        <x:v>open_acc</x:v>
      </x:c>
      <x:c r="B52" s="304" t="str">
        <x:v>total_rev_hi_lim</x:v>
      </x:c>
      <x:c r="C52" s="304" t="str">
        <x:v>num_rev_accts</x:v>
      </x:c>
      <x:c r="D52" s="305" t="str">
        <x:v>sec_app_collections_12_mths_ex_med</x:v>
      </x:c>
      <x:c r="E52" s="229"/>
      <x:c r="F52" s="229"/>
      <x:c r="G52" s="229"/>
      <x:c r="H52" s="229"/>
    </x:row>
    <x:row r="53">
      <x:c r="A53" s="303" t="str">
        <x:v>pub_rec</x:v>
      </x:c>
      <x:c r="B53" s="304" t="str">
        <x:v>inq_fi</x:v>
      </x:c>
      <x:c r="C53" s="304" t="str">
        <x:v>num_rev_tl_bal_gt_0</x:v>
      </x:c>
      <x:c r="D53" s="305" t="str"/>
      <x:c r="E53" s="229"/>
      <x:c r="F53" s="229"/>
      <x:c r="G53" s="229"/>
      <x:c r="H53" s="229"/>
    </x:row>
    <x:row r="54">
      <x:c r="A54" s="306" t="str">
        <x:v>revol_bal</x:v>
      </x:c>
      <x:c r="B54" s="307" t="str">
        <x:v>total_cu_tl</x:v>
      </x:c>
      <x:c r="C54" s="307" t="str">
        <x:v>num_sats</x:v>
      </x:c>
      <x:c r="D54" s="308" t="str"/>
      <x:c r="E54" s="229"/>
      <x:c r="F54" s="229"/>
      <x:c r="G54" s="229"/>
      <x:c r="H54" s="229"/>
    </x:row>
  </x:sheetData>
  <x:mergeCells>
    <x:mergeCell ref="A1:H1"/>
    <x:mergeCell ref="A3:H3"/>
    <x:mergeCell ref="B4:H4"/>
    <x:mergeCell ref="B5:H5"/>
    <x:mergeCell ref="B6:H6"/>
    <x:mergeCell ref="B7:H7"/>
    <x:mergeCell ref="B8:H8"/>
    <x:mergeCell ref="B9:H9"/>
    <x:mergeCell ref="B10:H10"/>
    <x:mergeCell ref="A12:H12"/>
    <x:mergeCell ref="A21:H21"/>
    <x:mergeCell ref="A22:H26"/>
    <x:mergeCell ref="A28:H2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30" hidden="0" customWidth="1"/>
    <x:col min="4" max="4" width="48" hidden="0" customWidth="1"/>
    <x:col min="5" max="5" width="17" hidden="0" customWidth="1"/>
    <x:col min="6" max="6" width="70" hidden="0" customWidth="1"/>
    <x:col min="7" max="7" width="48" hidden="0" customWidth="1"/>
    <x:col min="8" max="8" width="42" hidden="0" customWidth="1"/>
  </x:cols>
  <x:sheetData>
    <x:row r="1" ht="34" customHeight="1">
      <x:c r="A1" s="227" t="str">
        <x:v>근거 자료와 감사 추적</x:v>
      </x:c>
      <x:c r="B1" s="227" t="str">
        <x:v>근거 자료와 감사 추적</x:v>
      </x:c>
      <x:c r="C1" s="227" t="str">
        <x:v>근거 자료와 감사 추적</x:v>
      </x:c>
      <x:c r="D1" s="227" t="str">
        <x:v>근거 자료와 감사 추적</x:v>
      </x:c>
      <x:c r="E1" s="227" t="str">
        <x:v>근거 자료와 감사 추적</x:v>
      </x:c>
      <x:c r="F1" s="227" t="str">
        <x:v>근거 자료와 감사 추적</x:v>
      </x:c>
      <x:c r="G1" s="227" t="str">
        <x:v>근거 자료와 감사 추적</x:v>
      </x:c>
      <x:c r="H1" s="227" t="str">
        <x:v>근거 자료와 감사 추적</x:v>
      </x:c>
    </x:row>
    <x:row r="2">
      <x:c r="A2" s="229"/>
      <x:c r="B2" s="229"/>
      <x:c r="C2" s="229"/>
      <x:c r="D2" s="229"/>
      <x:c r="E2" s="229"/>
      <x:c r="F2" s="229"/>
      <x:c r="G2" s="229"/>
      <x:c r="H2" s="229"/>
    </x:row>
    <x:row r="3">
      <x:c r="A3" s="309" t="str">
        <x:v>ID</x:v>
      </x:c>
      <x:c r="B3" s="310" t="str">
        <x:v>구분</x:v>
      </x:c>
      <x:c r="C3" s="310" t="str">
        <x:v>기관/저자</x:v>
      </x:c>
      <x:c r="D3" s="310" t="str">
        <x:v>자료명</x:v>
      </x:c>
      <x:c r="E3" s="310" t="str">
        <x:v>발행/기준</x:v>
      </x:c>
      <x:c r="F3" s="310" t="str">
        <x:v>URL</x:v>
      </x:c>
      <x:c r="G3" s="310" t="str">
        <x:v>사용한 근거</x:v>
      </x:c>
      <x:c r="H3" s="311" t="str">
        <x:v>접근·신뢰 메모</x:v>
      </x:c>
    </x:row>
    <x:row r="4" ht="68" customHeight="1">
      <x:c r="A4" s="312" t="str">
        <x:v>M1</x:v>
      </x:c>
      <x:c r="B4" s="235" t="str">
        <x:v>제공 데이터</x:v>
      </x:c>
      <x:c r="C4" s="235" t="str">
        <x:v>사용자 제공</x:v>
      </x:c>
      <x:c r="D4" s="235" t="str">
        <x:v>lending_club_2020_train_sample_9000.csv</x:v>
      </x:c>
      <x:c r="E4" s="235" t="str">
        <x:v>2020 snapshot</x:v>
      </x:c>
      <x:c r="F4" s="313" t="str">
        <x:v>https://drive.google.com/file/d/1pbZUSdDXFrvtDSrV9ySmO3WGeXxHpUD2/view</x:v>
      </x:c>
      <x:c r="G4" s="235" t="str">
        <x:v>정확한 141개 헤더</x:v>
      </x:c>
      <x:c r="H4" s="236" t="str">
        <x:v>연결된 Google Drive의 9,000행 sample에서 헤더를 직접 확인</x:v>
      </x:c>
    </x:row>
    <x:row r="5" ht="68" customHeight="1">
      <x:c r="A5" s="312" t="str">
        <x:v>D1</x:v>
      </x:c>
      <x:c r="B5" s="235" t="str">
        <x:v>기업 데이터 사전</x:v>
      </x:c>
      <x:c r="C5" s="235" t="str">
        <x:v>LendingClub</x:v>
      </x:c>
      <x:c r="D5" s="235" t="str">
        <x:v>LCDataDictionary.xlsx</x:v>
      </x:c>
      <x:c r="E5" s="235" t="str">
        <x:v>historical</x:v>
      </x:c>
      <x:c r="F5" s="313" t="str">
        <x:v>https://resources.lendingclub.com/LCDataDictionary.xlsx</x:v>
      </x:c>
      <x:c r="G5" s="235" t="str">
        <x:v>141개 공식 정의, BrowseNotes/LoanStats 구분</x:v>
      </x:c>
      <x:c r="H5" s="236" t="str">
        <x:v>2026-07-23 현재 원 URL 직접 fetch는 실패. 아래 mirror와 출력본을 교차 확인</x:v>
      </x:c>
    </x:row>
    <x:row r="6" ht="68" customHeight="1">
      <x:c r="A6" s="312" t="str">
        <x:v>D1-M</x:v>
      </x:c>
      <x:c r="B6" s="235" t="str">
        <x:v>기업 사전 mirror</x:v>
      </x:c>
      <x:c r="C6" s="235" t="str">
        <x:v>TyMick GitHub notebook</x:v>
      </x:c>
      <x:c r="D6" s="235" t="str">
        <x:v>loan-risk-neural-network.ipynb</x:v>
      </x:c>
      <x:c r="E6" s="235" t="str">
        <x:v>2020</x:v>
      </x:c>
      <x:c r="F6" s="313" t="str">
        <x:v>https://github.com/TyMick/loan-risk-neural-network/blob/master/models/loan-risk-neural-network.ipynb</x:v>
      </x:c>
      <x:c r="G6" s="235" t="str">
        <x:v>공식 URL에서 읽은 151개 field definition 출력</x:v>
      </x:c>
      <x:c r="H6" s="236" t="str">
        <x:v>notebook이 공식 LC URL을 읽고 전체 사전을 출력; 현재 schema 141개 모두 매칭</x:v>
      </x:c>
    </x:row>
    <x:row r="7" ht="68" customHeight="1">
      <x:c r="A7" s="312" t="str">
        <x:v>D1-B</x:v>
      </x:c>
      <x:c r="B7" s="235" t="str">
        <x:v>기업 사전 mirror</x:v>
      </x:c>
      <x:c r="C7" s="235" t="str">
        <x:v>shawn-y-sun GitHub repository</x:v>
      </x:c>
      <x:c r="D7" s="235" t="str">
        <x:v>LCDataDictionary.xlsx</x:v>
      </x:c>
      <x:c r="E7" s="235" t="str">
        <x:v>historical</x:v>
      </x:c>
      <x:c r="F7" s="313" t="str">
        <x:v>https://github.com/shawn-y-sun/Credit_Risk_Model_LoanDefaults/blob/main/LCDataDictionary.xlsx</x:v>
      </x:c>
      <x:c r="G7" s="235" t="str">
        <x:v>LoanStats/BrowseNotes sheet 및 listing-time 변수 교차검증</x:v>
      </x:c>
      <x:c r="H7" s="236" t="str">
        <x:v>공식 문서의 비공식 mirror로만 사용</x:v>
      </x:c>
    </x:row>
    <x:row r="8" ht="68" customHeight="1">
      <x:c r="A8" s="312" t="str">
        <x:v>S1</x:v>
      </x:c>
      <x:c r="B8" s="235" t="str">
        <x:v>규제 공시</x:v>
      </x:c>
      <x:c r="C8" s="235" t="str">
        <x:v>LendingClub / U.S. SEC</x:v>
      </x:c>
      <x:c r="D8" s="235" t="str">
        <x:v>2019 Form S-3ASR — Borrower Registration; Standard Program Loan Listings; Credit Decisioning</x:v>
      </x:c>
      <x:c r="E8" s="235" t="str">
        <x:v>2019-08-09</x:v>
      </x:c>
      <x:c r="F8" s="313" t="str">
        <x:v>https://www.sec.gov/Archives/edgar/data/1409970/000140997019000988/forms-3asrfiledon8919.htm</x:v>
      </x:c>
      <x:c r="G8" s="235" t="str">
        <x:v>신청→신용조회→offer→검증→listing, 투자자에게 보이는 borrower/credit/contract 정보</x:v>
      </x:c>
      <x:c r="H8" s="236" t="str">
        <x:v>기업 설명을 SEC에 제출한 1차 자료</x:v>
      </x:c>
    </x:row>
    <x:row r="9" ht="68" customHeight="1">
      <x:c r="A9" s="312" t="str">
        <x:v>S2</x:v>
      </x:c>
      <x:c r="B9" s="235" t="str">
        <x:v>규제 공시</x:v>
      </x:c>
      <x:c r="C9" s="235" t="str">
        <x:v>LendingClub / U.S. SEC</x:v>
      </x:c>
      <x:c r="D9" s="235" t="str">
        <x:v>2019 Form S-3ASR — Purchases of Notes and Loan Closings</x:v>
      </x:c>
      <x:c r="E9" s="235" t="str">
        <x:v>2019-08-09</x:v>
      </x:c>
      <x:c r="F9" s="313" t="str">
        <x:v>https://www.sec.gov/Archives/edgar/data/1409970/000140997019000988/forms-3asrfiledon8919.htm</x:v>
      </x:c>
      <x:c r="G9" s="235" t="str">
        <x:v>commitment 누적, closing, WebBank 실행, LC 자기자본 funding 가능성</x:v>
      </x:c>
      <x:c r="H9" s="236" t="str">
        <x:v>기업 설명을 SEC에 제출한 1차 자료</x:v>
      </x:c>
    </x:row>
    <x:row r="10" ht="68" customHeight="1">
      <x:c r="A10" s="312" t="str">
        <x:v>S3</x:v>
      </x:c>
      <x:c r="B10" s="235" t="str">
        <x:v>규제 공시</x:v>
      </x:c>
      <x:c r="C10" s="235" t="str">
        <x:v>LendingClub / U.S. SEC</x:v>
      </x:c>
      <x:c r="D10" s="235" t="str">
        <x:v>2019 Form S-3ASR — Post-Closing Loan Servicing and Collection</x:v>
      </x:c>
      <x:c r="E10" s="235" t="str">
        <x:v>2019-08-09</x:v>
      </x:c>
      <x:c r="F10" s="313" t="str">
        <x:v>https://www.sec.gov/Archives/edgar/data/1409970/000140997019000988/forms-3asrfiledon8919.htm</x:v>
      </x:c>
      <x:c r="G10" s="235" t="str">
        <x:v>상환·late status·collection·workout가 실행 후 갱신됨</x:v>
      </x:c>
      <x:c r="H10" s="236" t="str">
        <x:v>기업 설명을 SEC에 제출한 1차 자료</x:v>
      </x:c>
    </x:row>
    <x:row r="11" ht="68" customHeight="1">
      <x:c r="A11" s="312" t="str">
        <x:v>A1</x:v>
      </x:c>
      <x:c r="B11" s="235" t="str">
        <x:v>학술 데이터/선행연구</x:v>
      </x:c>
      <x:c r="C11" s="235" t="str">
        <x:v>Ariza-Garzón, Sanz-Guerrero, Arroyo Gallardo</x:v>
      </x:c>
      <x:c r="D11" s="235" t="str">
        <x:v>Lending Club loan dataset for granting models</x:v>
      </x:c>
      <x:c r="E11" s="235" t="str">
        <x:v>2024</x:v>
      </x:c>
      <x:c r="F11" s="313" t="str">
        <x:v>https://zenodo.org/records/11295916</x:v>
      </x:c>
      <x:c r="G11" s="235" t="str">
        <x:v>application-time granting model은 grade/int_rate/sub_grade를 제외해야 한다는 독립 검증</x:v>
      </x:c>
      <x:c r="H11" s="236" t="str">
        <x:v>Universidad Complutense de Madrid, DOI 10.5281/zenodo.11295916</x:v>
      </x:c>
    </x:row>
    <x:row r="12" ht="68" customHeight="1">
      <x:c r="A12" s="312" t="str">
        <x:v>A2</x:v>
      </x:c>
      <x:c r="B12" s="235" t="str">
        <x:v>공신력 연구</x:v>
      </x:c>
      <x:c r="C12" s="235" t="str">
        <x:v>Federal Reserve Bank of Philadelphia</x:v>
      </x:c>
      <x:c r="D12" s="235" t="str">
        <x:v>Important Factors Determining Fintech Loan Default: Evidence from the LendingClub Consumer Platform</x:v>
      </x:c>
      <x:c r="E12" s="235" t="str">
        <x:v>2020-04</x:v>
      </x:c>
      <x:c r="F12" s="313" t="str">
        <x:v>https://www.philadelphiafed.org/consumer-finance/consumer-credit/important-factors-determining-fintech-loan-default-evidence-from-the-lendingclub-consumer-platform</x:v>
      </x:c>
      <x:c r="G12" s="235" t="str">
        <x:v>LendingClub loan-level default determinants와 공정대출 주의</x:v>
      </x:c>
      <x:c r="H12" s="236" t="str">
        <x:v>연방준비은행 working paper; 독립적 맥락 검증</x:v>
      </x:c>
    </x:row>
    <x:row r="13" ht="68" customHeight="1">
      <x:c r="A13" s="314" t="str">
        <x:v>P1</x:v>
      </x:c>
      <x:c r="B13" s="238" t="str">
        <x:v>과제 문서</x:v>
      </x:c>
      <x:c r="C13" s="238" t="str">
        <x:v>교육과정</x:v>
      </x:c>
      <x:c r="D13" s="238" t="str">
        <x:v>과제-설명.txt</x:v>
      </x:c>
      <x:c r="E13" s="238" t="str">
        <x:v>2026-07</x:v>
      </x:c>
      <x:c r="F13" s="315" t="str"/>
      <x:c r="G13" s="238" t="str">
        <x:v>신용평가 모델, 장기건전성, Sharpe ratio 평가</x:v>
      </x:c>
      <x:c r="H13" s="239" t="str">
        <x:v>사용자 첨부 파일</x:v>
      </x:c>
    </x:row>
  </x:sheetData>
  <x:mergeCells>
    <x:mergeCell ref="A1:H1"/>
  </x:mergeCells>
  <x:pageMargins left="0.7" right="0.7" top="0.75" bottom="0.75" header="0.3" footer="0.3"/>
  <x:tableParts count="1">
    <x:tablePart xmlns:r="http://schemas.openxmlformats.org/officeDocument/2006/relationships" r:id="Rbf371fe5908b489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 min="7" max="7" width="52" hidden="0" customWidth="1"/>
  </x:cols>
  <x:sheetData>
    <x:row r="1" ht="34" customHeight="1">
      <x:c r="A1" s="227" t="str">
        <x:v>검증 체크</x:v>
      </x:c>
      <x:c r="B1" s="227" t="str">
        <x:v>검증 체크</x:v>
      </x:c>
      <x:c r="C1" s="227" t="str">
        <x:v>검증 체크</x:v>
      </x:c>
      <x:c r="D1" s="227" t="str">
        <x:v>검증 체크</x:v>
      </x:c>
      <x:c r="E1" s="227" t="str">
        <x:v>검증 체크</x:v>
      </x:c>
      <x:c r="F1" s="227" t="str">
        <x:v>검증 체크</x:v>
      </x:c>
      <x:c r="G1" s="227" t="str">
        <x:v>검증 체크</x:v>
      </x:c>
    </x:row>
    <x:row r="2">
      <x:c r="A2" s="229"/>
      <x:c r="B2" s="229"/>
      <x:c r="C2" s="229"/>
      <x:c r="D2" s="229"/>
      <x:c r="E2" s="229"/>
      <x:c r="F2" s="229"/>
      <x:c r="G2" s="229"/>
    </x:row>
    <x:row r="3">
      <x:c r="A3" s="316" t="str">
        <x:v>검증 항목</x:v>
      </x:c>
      <x:c r="B3" s="317" t="str">
        <x:v>Actual</x:v>
      </x:c>
      <x:c r="C3" s="317" t="str">
        <x:v>Expected</x:v>
      </x:c>
      <x:c r="D3" s="317" t="str">
        <x:v>Difference</x:v>
      </x:c>
      <x:c r="E3" s="317" t="str">
        <x:v>Tolerance</x:v>
      </x:c>
      <x:c r="F3" s="317" t="str">
        <x:v>Status</x:v>
      </x:c>
      <x:c r="G3" s="318" t="str">
        <x:v>Notes</x:v>
      </x:c>
    </x:row>
    <x:row r="4" ht="34" customHeight="1">
      <x:c r="A4" s="319" t="str">
        <x:v>상세표 칼럼 수</x:v>
      </x:c>
      <x:c r="B4" s="320" t="n">
        <x:f>COUNTA('141개_타임라인'!B5:B145)</x:f>
        <x:v>141</x:v>
      </x:c>
      <x:c r="C4" s="320" t="n">
        <x:v>141</x:v>
      </x:c>
      <x:c r="D4" s="320" t="n">
        <x:f>B4-C4</x:f>
        <x:v>0</x:v>
      </x:c>
      <x:c r="E4" s="320" t="n">
        <x:v>0</x:v>
      </x:c>
      <x:c r="F4" s="321" t="str">
        <x:f>IF(ABS(D4)&lt;=E4,"OK","CHECK")</x:f>
        <x:v>OK</x:v>
      </x:c>
      <x:c r="G4" s="322" t="str">
        <x:v>헤더 141개와 일치</x:v>
      </x:c>
    </x:row>
    <x:row r="5" ht="34" customHeight="1">
      <x:c r="A5" s="319" t="str">
        <x:v>공식 정의 누락</x:v>
      </x:c>
      <x:c r="B5" s="320" t="n">
        <x:f>COUNTBLANK('141개_타임라인'!C5:C145)</x:f>
        <x:v>0</x:v>
      </x:c>
      <x:c r="C5" s="320" t="n">
        <x:v>0</x:v>
      </x:c>
      <x:c r="D5" s="320" t="n">
        <x:f>B5-C5</x:f>
        <x:v>0</x:v>
      </x:c>
      <x:c r="E5" s="320" t="n">
        <x:v>0</x:v>
      </x:c>
      <x:c r="F5" s="321" t="str">
        <x:f>IF(ABS(D5)&lt;=E5,"OK","CHECK")</x:f>
        <x:v>OK</x:v>
      </x:c>
      <x:c r="G5" s="322" t="str">
        <x:v>공식 사전 151개 중 현재 schema 141개 모두 매칭</x:v>
      </x:c>
    </x:row>
    <x:row r="6" ht="34" customHeight="1">
      <x:c r="A6" s="319" t="str">
        <x:v>단계 누락</x:v>
      </x:c>
      <x:c r="B6" s="320" t="n">
        <x:f>COUNTBLANK('141개_타임라인'!E5:E145)</x:f>
        <x:v>0</x:v>
      </x:c>
      <x:c r="C6" s="320" t="n">
        <x:v>0</x:v>
      </x:c>
      <x:c r="D6" s="320" t="n">
        <x:f>B6-C6</x:f>
        <x:v>0</x:v>
      </x:c>
      <x:c r="E6" s="320" t="n">
        <x:v>0</x:v>
      </x:c>
      <x:c r="F6" s="321" t="str">
        <x:f>IF(ABS(D6)&lt;=E6,"OK","CHECK")</x:f>
        <x:v>OK</x:v>
      </x:c>
      <x:c r="G6" s="322" t="str">
        <x:v>모든 행에 T0~T6 부여</x:v>
      </x:c>
    </x:row>
    <x:row r="7" ht="34" customHeight="1">
      <x:c r="A7" s="319" t="str">
        <x:v>투자시점 가용성 누락</x:v>
      </x:c>
      <x:c r="B7" s="320" t="n">
        <x:f>COUNTBLANK('141개_타임라인'!I5:I145)</x:f>
        <x:v>0</x:v>
      </x:c>
      <x:c r="C7" s="320" t="n">
        <x:v>0</x:v>
      </x:c>
      <x:c r="D7" s="320" t="n">
        <x:f>B7-C7</x:f>
        <x:v>0</x:v>
      </x:c>
      <x:c r="E7" s="320" t="n">
        <x:v>0</x:v>
      </x:c>
      <x:c r="F7" s="321" t="str">
        <x:f>IF(ABS(D7)&lt;=E7,"OK","CHECK")</x:f>
        <x:v>OK</x:v>
      </x:c>
      <x:c r="G7" s="322" t="str">
        <x:v>예/조건부/아니오 중 하나</x:v>
      </x:c>
    </x:row>
    <x:row r="8" ht="34" customHeight="1">
      <x:c r="A8" s="319" t="str">
        <x:v>근거 ID 누락</x:v>
      </x:c>
      <x:c r="B8" s="320" t="n">
        <x:f>COUNTBLANK('141개_타임라인'!M5:M145)</x:f>
        <x:v>0</x:v>
      </x:c>
      <x:c r="C8" s="320" t="n">
        <x:v>0</x:v>
      </x:c>
      <x:c r="D8" s="320" t="n">
        <x:f>B8-C8</x:f>
        <x:v>0</x:v>
      </x:c>
      <x:c r="E8" s="320" t="n">
        <x:v>0</x:v>
      </x:c>
      <x:c r="F8" s="321" t="str">
        <x:f>IF(ABS(D8)&lt;=E8,"OK","CHECK")</x:f>
        <x:v>OK</x:v>
      </x:c>
      <x:c r="G8" s="322" t="str">
        <x:v>D1 및 단계별 공시 근거</x:v>
      </x:c>
    </x:row>
    <x:row r="9" ht="34" customHeight="1">
      <x:c r="A9" s="319" t="str">
        <x:v>T3 즉시가용 칼럼 수</x:v>
      </x:c>
      <x:c r="B9" s="320" t="n">
        <x:f>COUNTIF('141개_타임라인'!I5:I145,"예")</x:f>
        <x:v>105</x:v>
      </x:c>
      <x:c r="C9" s="320" t="n">
        <x:v>105</x:v>
      </x:c>
      <x:c r="D9" s="320" t="n">
        <x:f>B9-C9</x:f>
        <x:v>0</x:v>
      </x:c>
      <x:c r="E9" s="320" t="n">
        <x:v>0</x:v>
      </x:c>
      <x:c r="F9" s="321" t="str">
        <x:f>IF(ABS(D9)&lt;=E9,"OK","CHECK")</x:f>
        <x:v>OK</x:v>
      </x:c>
      <x:c r="G9" s="322" t="str">
        <x:v>식별자·정책메타 포함</x:v>
      </x:c>
    </x:row>
    <x:row r="10" ht="34" customHeight="1">
      <x:c r="A10" s="323" t="str">
        <x:v>T3 권장 후보 Feature 수</x:v>
      </x:c>
      <x:c r="B10" s="324" t="n">
        <x:f>COUNTIF('141개_타임라인'!J5:J145,"후보 Feature")+COUNTIF('141개_타임라인'!J5:J145,"후보 Feature: LC 위험·가격 신호")+COUNTIF('141개_타임라인'!J5:J145,"후보 Feature: listing 채널 신호")+COUNTIF('141개_타임라인'!J5:J145,"후보 Feature: 공정성·일반화 검토")</x:f>
        <x:v>102</x:v>
      </x:c>
      <x:c r="C10" s="324" t="n">
        <x:v>102</x:v>
      </x:c>
      <x:c r="D10" s="324" t="n">
        <x:f>B10-C10</x:f>
        <x:v>0</x:v>
      </x:c>
      <x:c r="E10" s="324" t="n">
        <x:v>0</x:v>
      </x:c>
      <x:c r="F10" s="325" t="str">
        <x:f>IF(ABS(D10)&lt;=E10,"OK","CHECK")</x:f>
        <x:v>OK</x:v>
      </x:c>
      <x:c r="G10" s="326" t="str">
        <x:v>식별자·정책메타·사후/동적 값 제외</x:v>
      </x:c>
    </x:row>
    <x:row r="11">
      <x:c r="A11" s="229"/>
      <x:c r="B11" s="229"/>
      <x:c r="C11" s="229"/>
      <x:c r="D11" s="229"/>
      <x:c r="E11" s="229"/>
      <x:c r="F11" s="229"/>
      <x:c r="G11" s="229"/>
    </x:row>
    <x:row r="12">
      <x:c r="A12" s="327" t="str">
        <x:v>주의: workbook 수식 검증은 구조·누락 검증이다. ‘시점’ 판단의 실질 근거는 출처 탭과 141개 상세표의 근거/비고 열에 있다.</x:v>
      </x:c>
      <x:c r="B12" s="327"/>
      <x:c r="C12" s="327"/>
      <x:c r="D12" s="327"/>
      <x:c r="E12" s="327"/>
      <x:c r="F12" s="327"/>
      <x:c r="G12" s="327"/>
    </x:row>
    <x:row r="13">
      <x:c r="A13" s="327"/>
      <x:c r="B13" s="327"/>
      <x:c r="C13" s="327"/>
      <x:c r="D13" s="327"/>
      <x:c r="E13" s="327"/>
      <x:c r="F13" s="327"/>
      <x:c r="G13" s="327"/>
    </x:row>
    <x:row r="14">
      <x:c r="A14" s="327"/>
      <x:c r="B14" s="327"/>
      <x:c r="C14" s="327"/>
      <x:c r="D14" s="327"/>
      <x:c r="E14" s="327"/>
      <x:c r="F14" s="327"/>
      <x:c r="G14" s="327"/>
    </x:row>
  </x:sheetData>
  <x:mergeCells>
    <x:mergeCell ref="A1:G1"/>
    <x:mergeCell ref="A12:G14"/>
  </x:mergeCells>
  <x:pageMargins left="0.7" right="0.7" top="0.75" bottom="0.75" header="0.3" footer="0.3"/>
</x:worksheet>
</file>